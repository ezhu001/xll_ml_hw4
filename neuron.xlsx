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"/>
    </mc:Choice>
  </mc:AlternateContent>
  <xr:revisionPtr revIDLastSave="0" documentId="13_ncr:1_{04D1C259-FCC9-4A74-B99C-1016FAB4F431}" xr6:coauthVersionLast="47" xr6:coauthVersionMax="47" xr10:uidLastSave="{00000000-0000-0000-0000-000000000000}"/>
  <bookViews>
    <workbookView xWindow="-98" yWindow="-98" windowWidth="22276" windowHeight="13996" xr2:uid="{7A705C14-C927-4AA7-8E0F-9DC41AF7FF0D}"/>
  </bookViews>
  <sheets>
    <sheet name="Sheet1" sheetId="1" r:id="rId1"/>
  </sheets>
  <definedNames>
    <definedName name="_neuron">Sheet1!$I$6</definedName>
    <definedName name="a">Sheet1!$C$2</definedName>
    <definedName name="w">Sheet1!$C$8:$C$11</definedName>
    <definedName name="w_">Sheet1!$D$8:$D$11</definedName>
    <definedName name="x">Sheet1!$B$8:$B$11</definedName>
    <definedName name="y">Sheet1!$C$5</definedName>
    <definedName name="y_">Sheet1!$D$5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 a="1"/>
  <c r="B8" i="1" s="1"/>
  <c r="C6" i="1" s="1"/>
  <c r="C5" i="1"/>
  <c r="I6" i="1" a="1"/>
  <c r="D8" i="1" a="1"/>
  <c r="I6" i="1" l="1"/>
  <c r="D5" i="1"/>
  <c r="E8" i="1" s="1" a="1"/>
  <c r="E8" i="1" s="1"/>
  <c r="D8" i="1"/>
  <c r="G8" i="1" a="1"/>
  <c r="I7" i="1" a="1"/>
  <c r="K7" i="1" a="1"/>
  <c r="D6" i="1" l="1"/>
  <c r="F8" i="1" a="1"/>
  <c r="F8" i="1" s="1"/>
  <c r="K7" i="1"/>
  <c r="G8" i="1"/>
  <c r="I7" i="1"/>
  <c r="H8" i="1" a="1"/>
  <c r="H8" i="1" s="1"/>
  <c r="K8" i="1" a="1"/>
  <c r="I8" i="1" a="1"/>
  <c r="K8" i="1" l="1"/>
  <c r="K6" i="1" s="1"/>
  <c r="I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<sst xmlns="http://schemas.openxmlformats.org/spreadsheetml/2006/main" count="12" uniqueCount="12">
  <si>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x</t>
  </si>
  <si>
    <t>w</t>
  </si>
  <si>
    <t>a</t>
  </si>
  <si>
    <t>y</t>
  </si>
  <si>
    <t>w_</t>
  </si>
  <si>
    <t>y_</t>
  </si>
  <si>
    <t>_neuron</t>
  </si>
  <si>
    <t>neuron.train</t>
  </si>
  <si>
    <t>dot</t>
  </si>
  <si>
    <t>check</t>
  </si>
  <si>
    <t>neuron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</si>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</sst>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"/>
  </numFmts>
  <fonts count="3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164" fontId="1" fillId="0" borderId="0">
      <alignment horizontal="center" vertical="center"/>
    </xf>
    <xf numFmtId="0" fontId="2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1" xfId="2"/>
    <xf numFmtId="164" fontId="1" fillId="0" borderId="0" xfId="1">
      <alignment horizontal="center" vertical="center"/>
    </xf>
    <xf numFmtId="165" fontId="0" fillId="0" borderId="0" xfId="0" applyNumberFormat="1"/>
  </cellXfs>
  <cellStyles count="3">
    <cellStyle name="Check Cell" xfId="2" builtinId="23"/>
    <cellStyle name="Handle" xfId="1" xr:uid="{DCB00C33-3F02-4613-8360-707184DA8A7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AACC-C7AA-49F8-83C9-9F7067213EC0}">
  <dimension ref="B2:L12"/>
  <sheetViews>
    <sheetView tabSelected="1" zoomScale="120" zoomScaleNormal="120" workbookViewId="0">
      <selection activeCell="K7" sqref="K7"/>
    </sheetView>
  </sheetViews>
  <sheetFormatPr defaultRowHeight="18" x14ac:dyDescent="0.55000000000000004"/>
  <cols>
    <col min="1" max="1" width="3.578125" customWidth="1"/>
    <col min="7" max="7" width="11.68359375" bestFit="1" customWidth="1"/>
    <col min="9" max="9" width="11.68359375" bestFit="1" customWidth="1"/>
    <col min="10" max="10" width="10.26171875" bestFit="1" customWidth="1"/>
    <col min="11" max="11" width="11.68359375" bestFit="1" customWidth="1"/>
  </cols>
  <sheetData>
    <row r="2" spans="2:12" x14ac:dyDescent="0.55000000000000004">
      <c r="B2" s="2" t="s">
        <v>2</v>
      </c>
      <c r="C2">
        <v>0.1</v>
      </c>
    </row>
    <row r="4" spans="2:12" x14ac:dyDescent="0.55000000000000004">
      <c r="C4" s="1" t="s">
        <v>3</v>
      </c>
      <c r="D4" s="1" t="s">
        <v>5</v>
      </c>
    </row>
    <row r="5" spans="2:12" x14ac:dyDescent="0.55000000000000004">
      <c r="B5" s="2"/>
      <c r="C5" t="b">
        <f ca="1">RAND()&gt;0.5</f>
        <v>1</v>
      </c>
      <c r="D5" t="b">
        <f ca="1">SUMPRODUCT(x,w)&gt;0</f>
        <v>0</v>
      </c>
    </row>
    <row r="6" spans="2:12" x14ac:dyDescent="0.55000000000000004">
      <c r="C6" s="5">
        <f ca="1">SUMPRODUCT(w,x)</f>
        <v>-0.91427955182141818</v>
      </c>
      <c r="D6" s="5">
        <f ca="1">SUMPRODUCT(w_,x)</f>
        <v>-0.66202220806756773</v>
      </c>
      <c r="H6" s="2" t="s">
        <v>6</v>
      </c>
      <c r="I6" s="4" cm="1">
        <f t="array" ref="I6">_xll.\NEURON(w)</f>
        <v>2337322031232</v>
      </c>
      <c r="K6" s="5">
        <f ca="1">SUMPRODUCT(_xlfn.ANCHORARRAY(K8),x)</f>
        <v>9.474982319398309E-2</v>
      </c>
    </row>
    <row r="7" spans="2:12" ht="18.399999999999999" thickBot="1" x14ac:dyDescent="0.6">
      <c r="B7" s="1" t="s">
        <v>0</v>
      </c>
      <c r="C7" s="1" t="s">
        <v>1</v>
      </c>
      <c r="D7" s="1" t="s">
        <v>4</v>
      </c>
      <c r="E7" s="1" t="s">
        <v>8</v>
      </c>
      <c r="F7" s="1" t="s">
        <v>9</v>
      </c>
      <c r="G7" s="1" t="s">
        <v>10</v>
      </c>
      <c r="H7" s="2" t="s">
        <v>11</v>
      </c>
      <c r="I7" s="4" cm="1">
        <f t="array" aca="1" ref="I7" ca="1">_xll.NEURON.UPDATE(_neuron, x, y, a)</f>
        <v>2337322031232</v>
      </c>
      <c r="J7" s="2" t="s">
        <v>7</v>
      </c>
      <c r="K7" s="4" cm="1">
        <f t="array" aca="1" ref="K7:L7" ca="1">_xll.NEURON.TRAIN(_neuron, x, y, a)</f>
        <v>2337322031232</v>
      </c>
      <c r="L7">
        <f ca="1"/>
        <v>3</v>
      </c>
    </row>
    <row r="8" spans="2:12" ht="18.75" thickTop="1" thickBot="1" x14ac:dyDescent="0.6">
      <c r="B8" s="5" cm="1">
        <f t="array" aca="1" ref="B8:B11" ca="1">_xlfn.RANDARRAY(4,1,-1,1)</f>
        <v>-0.91427955182141818</v>
      </c>
      <c r="C8">
        <v>1</v>
      </c>
      <c r="D8" s="5" cm="1">
        <f t="array" aca="1" ref="D8:D11" ca="1">_xll.PERCEPTRON.UPDATE(w, x, y, a)</f>
        <v>0.90857204481785814</v>
      </c>
      <c r="E8" s="5" cm="1">
        <f t="array" aca="1" ref="E8:E11" ca="1">w+a*(y - y_)*x</f>
        <v>0.90857204481785814</v>
      </c>
      <c r="F8" s="3" t="b" cm="1">
        <f t="array" aca="1" ref="F8:F11" ca="1">_xlfn.ANCHORARRAY(D8)=_xlfn.ANCHORARRAY(E8)</f>
        <v>1</v>
      </c>
      <c r="G8" cm="1">
        <f t="array" ref="G8:G11">_xll.NEURON(_neuron)</f>
        <v>1</v>
      </c>
      <c r="H8" s="3" t="b" cm="1">
        <f t="array" ref="H8:H11">w=_xlfn.ANCHORARRAY(G8)</f>
        <v>1</v>
      </c>
      <c r="I8" s="5" cm="1">
        <f t="array" aca="1" ref="I8:I11" ca="1">_xll.NEURON(I7)</f>
        <v>0.63428817927143255</v>
      </c>
      <c r="K8" s="5" cm="1">
        <f t="array" aca="1" ref="K8:K11" ca="1">_xll.NEURON(K7)</f>
        <v>0.63428817927143255</v>
      </c>
    </row>
    <row r="9" spans="2:12" ht="18.75" thickTop="1" thickBot="1" x14ac:dyDescent="0.6">
      <c r="B9" s="5">
        <f ca="1"/>
        <v>0.72237477407562367</v>
      </c>
      <c r="C9">
        <v>0</v>
      </c>
      <c r="D9" s="5">
        <f ca="1"/>
        <v>7.2237477407562367E-2</v>
      </c>
      <c r="E9" s="5">
        <f ca="1"/>
        <v>7.2237477407562367E-2</v>
      </c>
      <c r="F9" s="3" t="b">
        <f ca="1"/>
        <v>1</v>
      </c>
      <c r="G9">
        <v>0</v>
      </c>
      <c r="H9" s="3" t="b">
        <v>1</v>
      </c>
      <c r="I9" s="5">
        <f ca="1"/>
        <v>0.28894990963024947</v>
      </c>
      <c r="K9" s="5">
        <f ca="1"/>
        <v>0.28894990963024947</v>
      </c>
    </row>
    <row r="10" spans="2:12" ht="18.75" thickTop="1" thickBot="1" x14ac:dyDescent="0.6">
      <c r="B10" s="5">
        <f ca="1"/>
        <v>-0.8822723616738124</v>
      </c>
      <c r="C10">
        <v>0</v>
      </c>
      <c r="D10" s="5">
        <f ca="1"/>
        <v>-8.8227236167381248E-2</v>
      </c>
      <c r="E10" s="5">
        <f ca="1"/>
        <v>-8.8227236167381248E-2</v>
      </c>
      <c r="F10" s="3" t="b">
        <f ca="1"/>
        <v>1</v>
      </c>
      <c r="G10">
        <v>0</v>
      </c>
      <c r="H10" s="3" t="b">
        <v>1</v>
      </c>
      <c r="I10" s="5">
        <f ca="1"/>
        <v>-0.35290894466952499</v>
      </c>
      <c r="K10" s="5">
        <f ca="1"/>
        <v>-0.35290894466952499</v>
      </c>
    </row>
    <row r="11" spans="2:12" ht="18.75" thickTop="1" thickBot="1" x14ac:dyDescent="0.6">
      <c r="B11" s="5">
        <f ca="1"/>
        <v>-0.62164017266054694</v>
      </c>
      <c r="C11">
        <v>0</v>
      </c>
      <c r="D11" s="5">
        <f ca="1"/>
        <v>-6.2164017266054694E-2</v>
      </c>
      <c r="E11" s="5">
        <f ca="1"/>
        <v>-6.2164017266054694E-2</v>
      </c>
      <c r="F11" s="3" t="b">
        <f ca="1"/>
        <v>1</v>
      </c>
      <c r="G11">
        <v>0</v>
      </c>
      <c r="H11" s="3" t="b">
        <v>1</v>
      </c>
      <c r="I11" s="5">
        <f ca="1"/>
        <v>-0.24865606906421878</v>
      </c>
      <c r="K11" s="5">
        <f ca="1"/>
        <v>-0.24865606906421878</v>
      </c>
    </row>
    <row r="12" spans="2:12" ht="18.399999999999999" thickTop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_neuron</vt:lpstr>
      <vt:lpstr>a</vt:lpstr>
      <vt:lpstr>w</vt:lpstr>
      <vt:lpstr>w_</vt:lpstr>
      <vt:lpstr>x</vt:lpstr>
      <vt:lpstr>y</vt:lpstr>
      <vt:lpstr>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2026-01-26T11:48:17Z</dcterms:created>
  <dcterms:modified xsi:type="dcterms:W3CDTF">2026-02-02T21:15:15Z</dcterms:modified>
</cp:coreProperties>
</file>