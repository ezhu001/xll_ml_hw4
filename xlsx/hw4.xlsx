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_hw4_enhua_zhu\xlsx\"/>
    </mc:Choice>
  </mc:AlternateContent>
  <xr:revisionPtr revIDLastSave="0" documentId="13_ncr:1_{52192D03-9E7F-480F-B95E-32E6194FDC6B}" xr6:coauthVersionLast="47" xr6:coauthVersionMax="47" xr10:uidLastSave="{00000000-0000-0000-0000-000000000000}"/>
  <bookViews>
    <workbookView xWindow="3504" yWindow="660" windowWidth="19176" windowHeight="1248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 a="1"/>
  <c r="I2" i="4" s="1"/>
  <c r="D4" i="3"/>
  <c r="E4" i="3"/>
  <c r="F4" i="3"/>
  <c r="C4" i="3"/>
  <c r="D4" i="2"/>
  <c r="E4" i="2" s="1"/>
  <c r="C4" i="2"/>
  <c r="J6" i="4" a="1"/>
  <c r="F8" i="4" a="1"/>
  <c r="F4" i="4" a="1"/>
  <c r="B11" i="2" a="1"/>
  <c r="F16" i="4" a="1"/>
  <c r="F14" i="4" a="1"/>
  <c r="F11" i="4" a="1"/>
  <c r="F10" i="4" a="1"/>
  <c r="F3" i="4" a="1"/>
  <c r="B5" i="3" a="1"/>
  <c r="F6" i="4" a="1"/>
  <c r="B15" i="2" a="1"/>
  <c r="F15" i="4" a="1"/>
  <c r="F12" i="4" a="1"/>
  <c r="F9" i="4" a="1"/>
  <c r="F7" i="4" a="1"/>
  <c r="F5" i="4" a="1"/>
  <c r="B5" i="2" a="1"/>
  <c r="F13" i="4" a="1"/>
  <c r="J6" i="4" l="1"/>
  <c r="F3" i="4"/>
  <c r="B5" i="3"/>
  <c r="F16" i="4"/>
  <c r="F15" i="4"/>
  <c r="F14" i="4"/>
  <c r="F13" i="4"/>
  <c r="F12" i="4"/>
  <c r="F11" i="4"/>
  <c r="F10" i="4"/>
  <c r="F9" i="4"/>
  <c r="F8" i="4"/>
  <c r="F7" i="4"/>
  <c r="F6" i="4"/>
  <c r="F5" i="4"/>
  <c r="F4" i="4"/>
  <c r="B15" i="2"/>
  <c r="B11" i="2"/>
  <c r="B5" i="2"/>
  <c r="I6" i="4" a="1"/>
  <c r="I6" i="4" s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  <c r="B16" i="2" a="1"/>
  <c r="B6" i="3" a="1"/>
  <c r="B12" i="2" a="1"/>
  <c r="B6" i="2" a="1"/>
  <c r="B16" i="2" l="1"/>
  <c r="B12" i="2"/>
  <c r="B6" i="2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<sst xmlns="http://schemas.openxmlformats.org/spreadsheetml/2006/main" count="31" uniqueCount="31">
  <si>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</si>
  <si>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</si>
  <si>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</si>
  <si>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</si>
  <si>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</si>
  <si>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</si>
  <si>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</si>
  <si>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</si>
  <si>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</si>
  <si>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</si>
  <si>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</si>
  <si>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</si>
  <si>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</si>
  <si>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</si>
  <si>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</si>
  <si>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</si>
  <si>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</si>
  <si>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</si>
  <si>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</si>
  <si>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</si>
  <si>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</si>
  <si>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</si>
  <si>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</si>
  <si>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</si>
  <si>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</si>
  <si>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</si>
  <si>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</si>
  <si>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</si>
  <si>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INSTRUMENTS</t>
  </si>
  <si>
    <t>ZCB</t>
  </si>
  <si>
    <t>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</si>
</sst>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5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0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0" fillId="2" borderId="1" xfId="2" applyNumberFormat="1" applyFont="1"/>
    <xf numFmtId="0" fontId="0" fillId="0" borderId="0" xfId="0" applyAlignment="1">
      <alignment wrapText="1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E17"/>
  <sheetViews>
    <sheetView workbookViewId="0">
      <selection activeCell="E19" sqref="E19"/>
    </sheetView>
  </sheetViews>
  <sheetFormatPr defaultRowHeight="18" x14ac:dyDescent="0.35"/>
  <cols>
    <col min="1" max="1" width="12.08203125" bestFit="1" customWidth="1"/>
    <col min="2" max="2" width="11.75" bestFit="1" customWidth="1"/>
  </cols>
  <sheetData>
    <row r="2" spans="1:5" x14ac:dyDescent="0.35">
      <c r="B2" s="3" t="s">
        <v>1</v>
      </c>
    </row>
    <row r="3" spans="1:5" x14ac:dyDescent="0.35">
      <c r="A3" t="s">
        <v>28</v>
      </c>
      <c r="B3">
        <v>1</v>
      </c>
      <c r="C3">
        <v>2</v>
      </c>
      <c r="D3">
        <v>3</v>
      </c>
      <c r="E3">
        <v>4</v>
      </c>
    </row>
    <row r="4" spans="1:5" x14ac:dyDescent="0.35">
      <c r="B4" s="2">
        <v>0.05</v>
      </c>
      <c r="C4" s="2">
        <f>B4*1.01</f>
        <v>5.0500000000000003E-2</v>
      </c>
      <c r="D4" s="2">
        <f t="shared" ref="D4:E4" si="0">C4*1.01</f>
        <v>5.1005000000000002E-2</v>
      </c>
      <c r="E4" s="2">
        <f t="shared" si="0"/>
        <v>5.151505E-2</v>
      </c>
    </row>
    <row r="5" spans="1:5" x14ac:dyDescent="0.35">
      <c r="B5" cm="1">
        <f t="array" ref="B5">_xll.\FI.INSTRUMENT(B3:E3,B4:E4)</f>
        <v>2349076000000</v>
      </c>
    </row>
    <row r="6" spans="1:5" x14ac:dyDescent="0.35">
      <c r="B6" cm="1">
        <f t="array" ref="B6:E7">_xll.FI.INSTRUMENT(B5)</f>
        <v>1</v>
      </c>
      <c r="C6">
        <v>2</v>
      </c>
      <c r="D6">
        <v>3</v>
      </c>
      <c r="E6">
        <v>4</v>
      </c>
    </row>
    <row r="7" spans="1:5" x14ac:dyDescent="0.35">
      <c r="B7">
        <v>0.05</v>
      </c>
      <c r="C7">
        <v>5.0500000000000003E-2</v>
      </c>
      <c r="D7">
        <v>5.1005000000000002E-2</v>
      </c>
      <c r="E7">
        <v>5.151505E-2</v>
      </c>
    </row>
    <row r="9" spans="1:5" x14ac:dyDescent="0.35">
      <c r="A9" t="s">
        <v>29</v>
      </c>
      <c r="B9">
        <v>1</v>
      </c>
    </row>
    <row r="10" spans="1:5" x14ac:dyDescent="0.35">
      <c r="B10">
        <v>0.5</v>
      </c>
    </row>
    <row r="11" spans="1:5" x14ac:dyDescent="0.35">
      <c r="B11" cm="1">
        <f t="array" ref="B11">_xll.\FI.INSTRUMENT.ZERO_COUPON_BOND(B9,B10)</f>
        <v>2349076109584</v>
      </c>
    </row>
    <row r="12" spans="1:5" x14ac:dyDescent="0.35">
      <c r="B12" cm="1">
        <f t="array" ref="B12:B13">_xll.FI.INSTRUMENT(B11)</f>
        <v>1</v>
      </c>
    </row>
    <row r="13" spans="1:5" x14ac:dyDescent="0.35">
      <c r="B13">
        <v>0.5</v>
      </c>
    </row>
    <row r="15" spans="1:5" x14ac:dyDescent="0.35">
      <c r="A15" t="s">
        <v>30</v>
      </c>
      <c r="B15" cm="1">
        <f t="array" ref="B15">_xll.\FI.INSTRUMENT.BOND(2,0.05,2)</f>
        <v>2348474432256</v>
      </c>
    </row>
    <row r="16" spans="1:5" x14ac:dyDescent="0.35">
      <c r="B16" cm="1">
        <f t="array" ref="B16:E17">_xll.FI.INSTRUMENT(B15)</f>
        <v>0.5</v>
      </c>
      <c r="C16">
        <v>1</v>
      </c>
      <c r="D16">
        <v>1.5</v>
      </c>
      <c r="E16">
        <v>2</v>
      </c>
    </row>
    <row r="17" spans="2:5" x14ac:dyDescent="0.35">
      <c r="B17">
        <v>2.5000000000000001E-2</v>
      </c>
      <c r="C17">
        <v>2.5000000000000001E-2</v>
      </c>
      <c r="D17">
        <v>2.5000000000000001E-2</v>
      </c>
      <c r="E17">
        <v>1.0249999999999999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F7"/>
  <sheetViews>
    <sheetView workbookViewId="0">
      <selection activeCell="B6" sqref="B6"/>
    </sheetView>
  </sheetViews>
  <sheetFormatPr defaultRowHeight="18" x14ac:dyDescent="0.35"/>
  <cols>
    <col min="2" max="2" width="11.25" bestFit="1" customWidth="1"/>
  </cols>
  <sheetData>
    <row r="2" spans="2:6" x14ac:dyDescent="0.35">
      <c r="B2" t="s">
        <v>2</v>
      </c>
    </row>
    <row r="3" spans="2:6" x14ac:dyDescent="0.35">
      <c r="B3">
        <v>1</v>
      </c>
      <c r="C3">
        <v>2</v>
      </c>
      <c r="D3">
        <v>3</v>
      </c>
      <c r="E3">
        <v>4</v>
      </c>
      <c r="F3">
        <v>5</v>
      </c>
    </row>
    <row r="4" spans="2:6" x14ac:dyDescent="0.35">
      <c r="B4">
        <v>0.05</v>
      </c>
      <c r="C4">
        <f>B4*1.01</f>
        <v>5.0500000000000003E-2</v>
      </c>
      <c r="D4">
        <f t="shared" ref="D4:F4" si="0">C4*1.01</f>
        <v>5.1005000000000002E-2</v>
      </c>
      <c r="E4">
        <f t="shared" si="0"/>
        <v>5.151505E-2</v>
      </c>
      <c r="F4">
        <f t="shared" si="0"/>
        <v>5.2030200499999998E-2</v>
      </c>
    </row>
    <row r="5" spans="2:6" x14ac:dyDescent="0.35">
      <c r="B5" s="9" cm="1">
        <f t="array" ref="B5">_xll.\FI.CURVE.PWFLAT(B3:F3,B4:F4)</f>
        <v>2349076113184</v>
      </c>
    </row>
    <row r="6" spans="2:6" x14ac:dyDescent="0.35">
      <c r="B6" cm="1">
        <f t="array" ref="B6:F7">_xll.FI.CURVE.PWFLAT(B5)</f>
        <v>1</v>
      </c>
      <c r="C6">
        <v>2</v>
      </c>
      <c r="D6">
        <v>3</v>
      </c>
      <c r="E6">
        <v>4</v>
      </c>
      <c r="F6">
        <v>5</v>
      </c>
    </row>
    <row r="7" spans="2:6" x14ac:dyDescent="0.35">
      <c r="B7">
        <v>0.05</v>
      </c>
      <c r="C7">
        <v>5.0500000000000003E-2</v>
      </c>
      <c r="D7">
        <v>5.1005000000000002E-2</v>
      </c>
      <c r="E7">
        <v>5.151505E-2</v>
      </c>
      <c r="F7">
        <v>5.2030200499999998E-2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topLeftCell="C7" workbookViewId="0">
      <selection activeCell="J11" sqref="J11"/>
    </sheetView>
  </sheetViews>
  <sheetFormatPr defaultRowHeight="18" x14ac:dyDescent="0.35"/>
  <cols>
    <col min="6" max="6" width="21.6640625" customWidth="1"/>
  </cols>
  <sheetData>
    <row r="2" spans="2:12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t="e" cm="1">
        <f t="array" aca="1" ref="I2" ca="1">\FI.CURVE.PWFLAT.BOOTSTRAP(E3:E16,F3:F16)</f>
        <v>#NAME?</v>
      </c>
    </row>
    <row r="3" spans="2:12" x14ac:dyDescent="0.35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8" cm="1">
        <f t="array" ref="F3">_xll.\FI.INSTRUMENT.ZERO_COUPON_BOND(C3,D3)</f>
        <v>2349076114336</v>
      </c>
      <c r="G3" s="2"/>
    </row>
    <row r="4" spans="2:12" x14ac:dyDescent="0.35">
      <c r="B4" s="2" t="s">
        <v>20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s="8" cm="1">
        <f t="array" ref="F4">_xll.\FI.INSTRUMENT.ZERO_COUPON_BOND(C4,D4)</f>
        <v>2349076101232</v>
      </c>
      <c r="I4" t="s">
        <v>27</v>
      </c>
    </row>
    <row r="5" spans="2:12" x14ac:dyDescent="0.35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s="8" cm="1">
        <f t="array" ref="F5">_xll.\FI.INSTRUMENT.ZERO_COUPON_BOND(C5,D5)</f>
        <v>2349075988048</v>
      </c>
      <c r="I5" s="7" t="s">
        <v>23</v>
      </c>
      <c r="J5" s="7" t="s">
        <v>24</v>
      </c>
      <c r="K5" s="7" t="s">
        <v>25</v>
      </c>
    </row>
    <row r="6" spans="2:12" x14ac:dyDescent="0.35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s="8" cm="1">
        <f t="array" ref="F6">_xll.\FI.INSTRUMENT.ZERO_COUPON_BOND(C6,D6)</f>
        <v>2349076113328</v>
      </c>
      <c r="H6">
        <v>0.1</v>
      </c>
      <c r="I6" cm="1">
        <f t="array" ref="I6:I74">_xlfn.VSTACK(_xlfn.SEQUENCE(1/H6,1,0,H6),_xlfn.SEQUENCE(1+29/H7,1,1,H7))</f>
        <v>0</v>
      </c>
      <c r="J6" t="e" cm="1">
        <f t="array" ref="J6">_xll.FI.CURVE.SPOT($J$2,I6)</f>
        <v>#NUM!</v>
      </c>
    </row>
    <row r="7" spans="2:12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s="8" cm="1">
        <f t="array" ref="F7">_xll.\FI.INSTRUMENT.ZERO_COUPON_BOND(C7,D7)</f>
        <v>2349075991072</v>
      </c>
      <c r="H7">
        <v>0.5</v>
      </c>
      <c r="I7">
        <v>0.1</v>
      </c>
    </row>
    <row r="8" spans="2:12" x14ac:dyDescent="0.35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s="8" cm="1">
        <f t="array" ref="F8">_xll.\FI.INSTRUMENT.ZERO_COUPON_BOND(C8,D8)</f>
        <v>2349076095904</v>
      </c>
      <c r="I8">
        <v>0.2</v>
      </c>
    </row>
    <row r="9" spans="2:12" x14ac:dyDescent="0.35">
      <c r="B9" s="2" t="s">
        <v>8</v>
      </c>
      <c r="C9">
        <v>1</v>
      </c>
      <c r="D9">
        <v>3.49E-2</v>
      </c>
      <c r="E9">
        <f t="shared" si="0"/>
        <v>0.99990305555555559</v>
      </c>
      <c r="F9" s="8" cm="1">
        <f t="array" ref="F9">_xll.\FI.INSTRUMENT.ZERO_COUPON_BOND(C9,D9)</f>
        <v>2349076113904</v>
      </c>
      <c r="I9">
        <v>0.30000000000000004</v>
      </c>
      <c r="L9" s="6" t="s">
        <v>26</v>
      </c>
    </row>
    <row r="10" spans="2:12" x14ac:dyDescent="0.35">
      <c r="B10" s="2" t="s">
        <v>9</v>
      </c>
      <c r="C10">
        <v>2</v>
      </c>
      <c r="D10">
        <v>3.4700000000000002E-2</v>
      </c>
      <c r="E10">
        <v>1</v>
      </c>
      <c r="F10" s="8" cm="1">
        <f t="array" ref="F10">_xll.\FI.INSTRUMENT.BOND(C10,D10,1)</f>
        <v>2348474432096</v>
      </c>
      <c r="I10">
        <v>0.4</v>
      </c>
    </row>
    <row r="11" spans="2:12" x14ac:dyDescent="0.35">
      <c r="B11" s="2" t="s">
        <v>10</v>
      </c>
      <c r="C11">
        <v>3</v>
      </c>
      <c r="D11">
        <v>3.5000000000000003E-2</v>
      </c>
      <c r="E11">
        <v>1</v>
      </c>
      <c r="F11" s="8" cm="1">
        <f t="array" ref="F11">_xll.\FI.INSTRUMENT.BOND(C11,D11,1)</f>
        <v>2348474431936</v>
      </c>
      <c r="I11">
        <v>0.5</v>
      </c>
    </row>
    <row r="12" spans="2:12" x14ac:dyDescent="0.35">
      <c r="B12" s="2" t="s">
        <v>11</v>
      </c>
      <c r="C12">
        <v>5</v>
      </c>
      <c r="D12">
        <v>3.6600000000000001E-2</v>
      </c>
      <c r="E12">
        <v>1</v>
      </c>
      <c r="F12" s="8" cm="1">
        <f t="array" ref="F12">_xll.\FI.INSTRUMENT.BOND(C12,D12,1)</f>
        <v>2348474434016</v>
      </c>
      <c r="I12">
        <v>0.6</v>
      </c>
    </row>
    <row r="13" spans="2:12" x14ac:dyDescent="0.35">
      <c r="B13" s="2" t="s">
        <v>12</v>
      </c>
      <c r="C13">
        <v>7</v>
      </c>
      <c r="D13">
        <v>3.8599999999999995E-2</v>
      </c>
      <c r="E13">
        <v>1</v>
      </c>
      <c r="F13" s="8" cm="1">
        <f t="array" ref="F13">_xll.\FI.INSTRUMENT.BOND(C13,D13,1)</f>
        <v>2348282137904</v>
      </c>
      <c r="I13">
        <v>0.7</v>
      </c>
    </row>
    <row r="14" spans="2:12" x14ac:dyDescent="0.35">
      <c r="B14" s="2" t="s">
        <v>13</v>
      </c>
      <c r="C14">
        <v>10</v>
      </c>
      <c r="D14">
        <v>4.0899999999999999E-2</v>
      </c>
      <c r="E14">
        <v>1</v>
      </c>
      <c r="F14" s="8" cm="1">
        <f t="array" ref="F14">_xll.\FI.INSTRUMENT.BOND(C14,D14,1)</f>
        <v>2348474431136</v>
      </c>
      <c r="I14">
        <v>0.79999999999999993</v>
      </c>
    </row>
    <row r="15" spans="2:12" x14ac:dyDescent="0.35">
      <c r="B15" s="2" t="s">
        <v>14</v>
      </c>
      <c r="C15">
        <v>20</v>
      </c>
      <c r="D15">
        <v>4.6500000000000007E-2</v>
      </c>
      <c r="E15">
        <v>1</v>
      </c>
      <c r="F15" s="8" cm="1">
        <f t="array" ref="F15">_xll.\FI.INSTRUMENT.BOND(C15,D15,1)</f>
        <v>2348474433696</v>
      </c>
      <c r="I15">
        <v>0.89999999999999991</v>
      </c>
    </row>
    <row r="16" spans="2:12" x14ac:dyDescent="0.35">
      <c r="B16" s="2" t="s">
        <v>15</v>
      </c>
      <c r="C16">
        <v>30</v>
      </c>
      <c r="D16">
        <v>4.7100000000000003E-2</v>
      </c>
      <c r="E16">
        <v>1</v>
      </c>
      <c r="F16" s="8" cm="1">
        <f t="array" ref="F16">_xll.\FI.INSTRUMENT.BOND(C16,D16,1)</f>
        <v>2348474436896</v>
      </c>
      <c r="I16">
        <v>1</v>
      </c>
    </row>
    <row r="17" spans="9:9" x14ac:dyDescent="0.35">
      <c r="I17">
        <v>1.5</v>
      </c>
    </row>
    <row r="18" spans="9:9" x14ac:dyDescent="0.35">
      <c r="I18">
        <v>2</v>
      </c>
    </row>
    <row r="19" spans="9:9" x14ac:dyDescent="0.35">
      <c r="I19">
        <v>2.5</v>
      </c>
    </row>
    <row r="20" spans="9:9" x14ac:dyDescent="0.35">
      <c r="I20">
        <v>3</v>
      </c>
    </row>
    <row r="21" spans="9:9" x14ac:dyDescent="0.35">
      <c r="I21">
        <v>3.5</v>
      </c>
    </row>
    <row r="22" spans="9:9" x14ac:dyDescent="0.35">
      <c r="I22">
        <v>4</v>
      </c>
    </row>
    <row r="23" spans="9:9" x14ac:dyDescent="0.35">
      <c r="I23">
        <v>4.5</v>
      </c>
    </row>
    <row r="24" spans="9:9" x14ac:dyDescent="0.35">
      <c r="I24">
        <v>5</v>
      </c>
    </row>
    <row r="25" spans="9:9" x14ac:dyDescent="0.35">
      <c r="I25">
        <v>5.5</v>
      </c>
    </row>
    <row r="26" spans="9:9" x14ac:dyDescent="0.35">
      <c r="I26">
        <v>6</v>
      </c>
    </row>
    <row r="27" spans="9:9" x14ac:dyDescent="0.35">
      <c r="I27">
        <v>6.5</v>
      </c>
    </row>
    <row r="28" spans="9:9" x14ac:dyDescent="0.35">
      <c r="I28">
        <v>7</v>
      </c>
    </row>
    <row r="29" spans="9:9" x14ac:dyDescent="0.35">
      <c r="I29">
        <v>7.5</v>
      </c>
    </row>
    <row r="30" spans="9:9" x14ac:dyDescent="0.35">
      <c r="I30">
        <v>8</v>
      </c>
    </row>
    <row r="31" spans="9:9" x14ac:dyDescent="0.35">
      <c r="I31">
        <v>8.5</v>
      </c>
    </row>
    <row r="32" spans="9:9" x14ac:dyDescent="0.35">
      <c r="I32">
        <v>9</v>
      </c>
    </row>
    <row r="33" spans="9:9" x14ac:dyDescent="0.35">
      <c r="I33">
        <v>9.5</v>
      </c>
    </row>
    <row r="34" spans="9:9" x14ac:dyDescent="0.35">
      <c r="I34">
        <v>10</v>
      </c>
    </row>
    <row r="35" spans="9:9" x14ac:dyDescent="0.35">
      <c r="I35">
        <v>10.5</v>
      </c>
    </row>
    <row r="36" spans="9:9" x14ac:dyDescent="0.35">
      <c r="I36">
        <v>11</v>
      </c>
    </row>
    <row r="37" spans="9:9" x14ac:dyDescent="0.35">
      <c r="I37">
        <v>11.5</v>
      </c>
    </row>
    <row r="38" spans="9:9" x14ac:dyDescent="0.35">
      <c r="I38">
        <v>12</v>
      </c>
    </row>
    <row r="39" spans="9:9" x14ac:dyDescent="0.35">
      <c r="I39">
        <v>12.5</v>
      </c>
    </row>
    <row r="40" spans="9:9" x14ac:dyDescent="0.35">
      <c r="I40">
        <v>13</v>
      </c>
    </row>
    <row r="41" spans="9:9" x14ac:dyDescent="0.35">
      <c r="I41">
        <v>13.5</v>
      </c>
    </row>
    <row r="42" spans="9:9" x14ac:dyDescent="0.35">
      <c r="I42">
        <v>14</v>
      </c>
    </row>
    <row r="43" spans="9:9" x14ac:dyDescent="0.35">
      <c r="I43">
        <v>14.5</v>
      </c>
    </row>
    <row r="44" spans="9:9" x14ac:dyDescent="0.35">
      <c r="I44">
        <v>15</v>
      </c>
    </row>
    <row r="45" spans="9:9" x14ac:dyDescent="0.35">
      <c r="I45">
        <v>15.5</v>
      </c>
    </row>
    <row r="46" spans="9:9" x14ac:dyDescent="0.35">
      <c r="I46">
        <v>16</v>
      </c>
    </row>
    <row r="47" spans="9:9" x14ac:dyDescent="0.35">
      <c r="I47">
        <v>16.5</v>
      </c>
    </row>
    <row r="48" spans="9:9" x14ac:dyDescent="0.35">
      <c r="I48">
        <v>17</v>
      </c>
    </row>
    <row r="49" spans="9:9" x14ac:dyDescent="0.35">
      <c r="I49">
        <v>17.5</v>
      </c>
    </row>
    <row r="50" spans="9:9" x14ac:dyDescent="0.35">
      <c r="I50">
        <v>18</v>
      </c>
    </row>
    <row r="51" spans="9:9" x14ac:dyDescent="0.35">
      <c r="I51">
        <v>18.5</v>
      </c>
    </row>
    <row r="52" spans="9:9" x14ac:dyDescent="0.35">
      <c r="I52">
        <v>19</v>
      </c>
    </row>
    <row r="53" spans="9:9" x14ac:dyDescent="0.35">
      <c r="I53">
        <v>19.5</v>
      </c>
    </row>
    <row r="54" spans="9:9" x14ac:dyDescent="0.35">
      <c r="I54">
        <v>20</v>
      </c>
    </row>
    <row r="55" spans="9:9" x14ac:dyDescent="0.35">
      <c r="I55">
        <v>20.5</v>
      </c>
    </row>
    <row r="56" spans="9:9" x14ac:dyDescent="0.35">
      <c r="I56">
        <v>21</v>
      </c>
    </row>
    <row r="57" spans="9:9" x14ac:dyDescent="0.35">
      <c r="I57">
        <v>21.5</v>
      </c>
    </row>
    <row r="58" spans="9:9" x14ac:dyDescent="0.35">
      <c r="I58">
        <v>22</v>
      </c>
    </row>
    <row r="59" spans="9:9" x14ac:dyDescent="0.35">
      <c r="I59">
        <v>22.5</v>
      </c>
    </row>
    <row r="60" spans="9:9" x14ac:dyDescent="0.35">
      <c r="I60">
        <v>23</v>
      </c>
    </row>
    <row r="61" spans="9:9" x14ac:dyDescent="0.35">
      <c r="I61">
        <v>23.5</v>
      </c>
    </row>
    <row r="62" spans="9:9" x14ac:dyDescent="0.35">
      <c r="I62">
        <v>24</v>
      </c>
    </row>
    <row r="63" spans="9:9" x14ac:dyDescent="0.35">
      <c r="I63">
        <v>24.5</v>
      </c>
    </row>
    <row r="64" spans="9:9" x14ac:dyDescent="0.35">
      <c r="I64">
        <v>25</v>
      </c>
    </row>
    <row r="65" spans="9:9" x14ac:dyDescent="0.35">
      <c r="I65">
        <v>25.5</v>
      </c>
    </row>
    <row r="66" spans="9:9" x14ac:dyDescent="0.35">
      <c r="I66">
        <v>26</v>
      </c>
    </row>
    <row r="67" spans="9:9" x14ac:dyDescent="0.35">
      <c r="I67">
        <v>26.5</v>
      </c>
    </row>
    <row r="68" spans="9:9" x14ac:dyDescent="0.35">
      <c r="I68">
        <v>27</v>
      </c>
    </row>
    <row r="69" spans="9:9" x14ac:dyDescent="0.35">
      <c r="I69">
        <v>27.5</v>
      </c>
    </row>
    <row r="70" spans="9:9" x14ac:dyDescent="0.35">
      <c r="I70">
        <v>28</v>
      </c>
    </row>
    <row r="71" spans="9:9" x14ac:dyDescent="0.35">
      <c r="I71">
        <v>28.5</v>
      </c>
    </row>
    <row r="72" spans="9:9" x14ac:dyDescent="0.35">
      <c r="I72">
        <v>29</v>
      </c>
    </row>
    <row r="73" spans="9:9" x14ac:dyDescent="0.35">
      <c r="I73">
        <v>29.5</v>
      </c>
    </row>
    <row r="74" spans="9:9" x14ac:dyDescent="0.35">
      <c r="I74">
        <v>30</v>
      </c>
    </row>
  </sheetData>
  <pageMargins left="0.7" right="0.7" top="0.75" bottom="0.75" header="0.3" footer="0.3"/>
  <ignoredErrors>
    <ignoredError sqref="C4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2026-02-23T09:33:18Z</dcterms:modified>
</cp:coreProperties>
</file>