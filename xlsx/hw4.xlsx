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3466\source\repos\xll_ml_hw4_enhua_zhu\xlsx\"/>
    </mc:Choice>
  </mc:AlternateContent>
  <xr:revisionPtr revIDLastSave="0" documentId="13_ncr:1_{B842A961-B8AC-44E8-95E8-9FA82B8F0AB1}" xr6:coauthVersionLast="47" xr6:coauthVersionMax="47" xr10:uidLastSave="{00000000-0000-0000-0000-000000000000}"/>
  <bookViews>
    <workbookView xWindow="1152" yWindow="1152" windowWidth="19176" windowHeight="12480" activeTab="3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4" l="1" a="1"/>
  <c r="G4" i="4" s="1"/>
  <c r="F3" i="4" a="1"/>
  <c r="B5" i="3" a="1"/>
  <c r="F11" i="4" a="1"/>
  <c r="F12" i="4" a="1"/>
  <c r="F13" i="4" a="1"/>
  <c r="F15" i="4" a="1"/>
  <c r="F14" i="4" a="1"/>
  <c r="F16" i="4" a="1"/>
  <c r="F10" i="4" a="1"/>
  <c r="F3" i="4" l="1"/>
  <c r="G3" i="4" s="1" a="1"/>
  <c r="B5" i="3"/>
  <c r="F16" i="4"/>
  <c r="F14" i="4"/>
  <c r="F15" i="4"/>
  <c r="F13" i="4"/>
  <c r="F12" i="4"/>
  <c r="F11" i="4"/>
  <c r="F10" i="4"/>
  <c r="E9" i="4"/>
  <c r="K7" i="4" a="1"/>
  <c r="K7" i="4" s="1"/>
  <c r="C5" i="4"/>
  <c r="E5" i="4" s="1"/>
  <c r="C8" i="4"/>
  <c r="E8" i="4" s="1"/>
  <c r="C7" i="4"/>
  <c r="E7" i="4" s="1"/>
  <c r="C6" i="4"/>
  <c r="E6" i="4" s="1"/>
  <c r="C4" i="4"/>
  <c r="E4" i="4" s="1"/>
  <c r="C3" i="4"/>
  <c r="E3" i="4" s="1"/>
  <c r="B4" i="1"/>
  <c r="B6" i="1" s="1" a="1"/>
  <c r="F8" i="4" a="1"/>
  <c r="F7" i="4" a="1"/>
  <c r="F6" i="4" a="1"/>
  <c r="F5" i="4" a="1"/>
  <c r="F9" i="4" a="1"/>
  <c r="F4" i="4" a="1"/>
  <c r="B13" i="2" a="1"/>
  <c r="B10" i="2" a="1"/>
  <c r="B5" i="2" a="1"/>
  <c r="G3" i="4" l="1"/>
  <c r="B13" i="2"/>
  <c r="B10" i="2"/>
  <c r="B5" i="2"/>
  <c r="F9" i="4"/>
  <c r="F8" i="4"/>
  <c r="F5" i="4"/>
  <c r="F4" i="4"/>
  <c r="F6" i="4"/>
  <c r="F7" i="4"/>
  <c r="B6" i="1"/>
  <c r="L2" i="4" a="1"/>
  <c r="B6" i="3" a="1"/>
  <c r="B14" i="2" a="1"/>
  <c r="B11" i="2" a="1"/>
  <c r="B6" i="2" a="1"/>
  <c r="L2" i="4" l="1"/>
  <c r="B6" i="2"/>
  <c r="B11" i="2"/>
  <c r="B14" i="2"/>
  <c r="B6" i="3"/>
  <c r="P5" i="4" a="1"/>
  <c r="L7" i="4" a="1"/>
  <c r="L14" i="4" a="1"/>
  <c r="L13" i="4" a="1"/>
  <c r="L12" i="4" a="1"/>
  <c r="L11" i="4" a="1"/>
  <c r="L10" i="4" a="1"/>
  <c r="L9" i="4" a="1"/>
  <c r="L8" i="4" a="1"/>
  <c r="L25" i="4" a="1"/>
  <c r="L24" i="4" a="1"/>
  <c r="L23" i="4" a="1"/>
  <c r="L22" i="4" a="1"/>
  <c r="L21" i="4" a="1"/>
  <c r="L20" i="4" a="1"/>
  <c r="L19" i="4" a="1"/>
  <c r="L18" i="4" a="1"/>
  <c r="L17" i="4" a="1"/>
  <c r="L27" i="4" a="1"/>
  <c r="L16" i="4" a="1"/>
  <c r="L26" i="4" a="1"/>
  <c r="L15" i="4" a="1"/>
  <c r="L36" i="4" a="1"/>
  <c r="L35" i="4" a="1"/>
  <c r="L34" i="4" a="1"/>
  <c r="L33" i="4" a="1"/>
  <c r="L32" i="4" a="1"/>
  <c r="L31" i="4" a="1"/>
  <c r="L30" i="4" a="1"/>
  <c r="L29" i="4" a="1"/>
  <c r="L28" i="4" a="1"/>
  <c r="L50" i="4" a="1"/>
  <c r="L39" i="4" a="1"/>
  <c r="L49" i="4" a="1"/>
  <c r="L38" i="4" a="1"/>
  <c r="L48" i="4" a="1"/>
  <c r="L37" i="4" a="1"/>
  <c r="L47" i="4" a="1"/>
  <c r="L46" i="4" a="1"/>
  <c r="L45" i="4" a="1"/>
  <c r="L44" i="4" a="1"/>
  <c r="L43" i="4" a="1"/>
  <c r="L42" i="4" a="1"/>
  <c r="L41" i="4" a="1"/>
  <c r="L51" i="4" a="1"/>
  <c r="L40" i="4" a="1"/>
  <c r="L73" i="4" a="1"/>
  <c r="L62" i="4" a="1"/>
  <c r="L72" i="4" a="1"/>
  <c r="L61" i="4" a="1"/>
  <c r="L71" i="4" a="1"/>
  <c r="L60" i="4" a="1"/>
  <c r="L70" i="4" a="1"/>
  <c r="L59" i="4" a="1"/>
  <c r="L69" i="4" a="1"/>
  <c r="L58" i="4" a="1"/>
  <c r="L68" i="4" a="1"/>
  <c r="L57" i="4" a="1"/>
  <c r="L67" i="4" a="1"/>
  <c r="L56" i="4" a="1"/>
  <c r="L66" i="4" a="1"/>
  <c r="L55" i="4" a="1"/>
  <c r="L65" i="4" a="1"/>
  <c r="L54" i="4" a="1"/>
  <c r="L75" i="4" a="1"/>
  <c r="L64" i="4" a="1"/>
  <c r="L53" i="4" a="1"/>
  <c r="L74" i="4" a="1"/>
  <c r="L63" i="4" a="1"/>
  <c r="L52" i="4" a="1"/>
  <c r="M7" i="4" a="1"/>
  <c r="M63" i="4" a="1"/>
  <c r="M9" i="4" a="1"/>
  <c r="M8" i="4" a="1"/>
  <c r="M53" i="4" a="1"/>
  <c r="M52" i="4" a="1"/>
  <c r="M42" i="4" a="1"/>
  <c r="M41" i="4" a="1"/>
  <c r="M31" i="4" a="1"/>
  <c r="M75" i="4" a="1"/>
  <c r="M30" i="4" a="1"/>
  <c r="M74" i="4" a="1"/>
  <c r="M20" i="4" a="1"/>
  <c r="M64" i="4" a="1"/>
  <c r="M19" i="4" a="1"/>
  <c r="M73" i="4" a="1"/>
  <c r="M62" i="4" a="1"/>
  <c r="M51" i="4" a="1"/>
  <c r="M40" i="4" a="1"/>
  <c r="M29" i="4" a="1"/>
  <c r="M18" i="4" a="1"/>
  <c r="M72" i="4" a="1"/>
  <c r="M61" i="4" a="1"/>
  <c r="M50" i="4" a="1"/>
  <c r="M39" i="4" a="1"/>
  <c r="M28" i="4" a="1"/>
  <c r="M17" i="4" a="1"/>
  <c r="M71" i="4" a="1"/>
  <c r="M60" i="4" a="1"/>
  <c r="M49" i="4" a="1"/>
  <c r="M38" i="4" a="1"/>
  <c r="M27" i="4" a="1"/>
  <c r="M16" i="4" a="1"/>
  <c r="M70" i="4" a="1"/>
  <c r="M59" i="4" a="1"/>
  <c r="M48" i="4" a="1"/>
  <c r="M37" i="4" a="1"/>
  <c r="M26" i="4" a="1"/>
  <c r="M15" i="4" a="1"/>
  <c r="M69" i="4" a="1"/>
  <c r="M58" i="4" a="1"/>
  <c r="M47" i="4" a="1"/>
  <c r="M36" i="4" a="1"/>
  <c r="M25" i="4" a="1"/>
  <c r="M14" i="4" a="1"/>
  <c r="M68" i="4" a="1"/>
  <c r="M57" i="4" a="1"/>
  <c r="M46" i="4" a="1"/>
  <c r="M35" i="4" a="1"/>
  <c r="M24" i="4" a="1"/>
  <c r="M13" i="4" a="1"/>
  <c r="M67" i="4" a="1"/>
  <c r="M56" i="4" a="1"/>
  <c r="M45" i="4" a="1"/>
  <c r="M34" i="4" a="1"/>
  <c r="M23" i="4" a="1"/>
  <c r="M12" i="4" a="1"/>
  <c r="M66" i="4" a="1"/>
  <c r="M55" i="4" a="1"/>
  <c r="M44" i="4" a="1"/>
  <c r="M33" i="4" a="1"/>
  <c r="M22" i="4" a="1"/>
  <c r="M11" i="4" a="1"/>
  <c r="M65" i="4" a="1"/>
  <c r="M54" i="4" a="1"/>
  <c r="M43" i="4" a="1"/>
  <c r="M32" i="4" a="1"/>
  <c r="M21" i="4" a="1"/>
  <c r="M10" i="4" a="1"/>
  <c r="M10" i="4" l="1"/>
  <c r="M21" i="4"/>
  <c r="M32" i="4"/>
  <c r="M43" i="4"/>
  <c r="M54" i="4"/>
  <c r="M65" i="4"/>
  <c r="M11" i="4"/>
  <c r="M22" i="4"/>
  <c r="M33" i="4"/>
  <c r="M44" i="4"/>
  <c r="M55" i="4"/>
  <c r="M66" i="4"/>
  <c r="M12" i="4"/>
  <c r="M23" i="4"/>
  <c r="M34" i="4"/>
  <c r="M45" i="4"/>
  <c r="M56" i="4"/>
  <c r="M67" i="4"/>
  <c r="M13" i="4"/>
  <c r="M24" i="4"/>
  <c r="M35" i="4"/>
  <c r="M46" i="4"/>
  <c r="M57" i="4"/>
  <c r="M68" i="4"/>
  <c r="M14" i="4"/>
  <c r="M25" i="4"/>
  <c r="M36" i="4"/>
  <c r="M47" i="4"/>
  <c r="M58" i="4"/>
  <c r="M69" i="4"/>
  <c r="M15" i="4"/>
  <c r="M26" i="4"/>
  <c r="M37" i="4"/>
  <c r="M48" i="4"/>
  <c r="M59" i="4"/>
  <c r="M70" i="4"/>
  <c r="M16" i="4"/>
  <c r="M27" i="4"/>
  <c r="M38" i="4"/>
  <c r="M49" i="4"/>
  <c r="M60" i="4"/>
  <c r="M71" i="4"/>
  <c r="M17" i="4"/>
  <c r="M28" i="4"/>
  <c r="M39" i="4"/>
  <c r="M50" i="4"/>
  <c r="M61" i="4"/>
  <c r="M72" i="4"/>
  <c r="M18" i="4"/>
  <c r="M29" i="4"/>
  <c r="M40" i="4"/>
  <c r="M51" i="4"/>
  <c r="M62" i="4"/>
  <c r="M73" i="4"/>
  <c r="M19" i="4"/>
  <c r="M64" i="4"/>
  <c r="M20" i="4"/>
  <c r="M74" i="4"/>
  <c r="M30" i="4"/>
  <c r="M75" i="4"/>
  <c r="M31" i="4"/>
  <c r="M41" i="4"/>
  <c r="M42" i="4"/>
  <c r="M52" i="4"/>
  <c r="M53" i="4"/>
  <c r="M8" i="4"/>
  <c r="M9" i="4"/>
  <c r="M63" i="4"/>
  <c r="M7" i="4"/>
  <c r="L52" i="4"/>
  <c r="L63" i="4"/>
  <c r="L74" i="4"/>
  <c r="L53" i="4"/>
  <c r="L64" i="4"/>
  <c r="L75" i="4"/>
  <c r="L54" i="4"/>
  <c r="L65" i="4"/>
  <c r="L55" i="4"/>
  <c r="L66" i="4"/>
  <c r="L56" i="4"/>
  <c r="L67" i="4"/>
  <c r="L57" i="4"/>
  <c r="L68" i="4"/>
  <c r="L58" i="4"/>
  <c r="L69" i="4"/>
  <c r="L59" i="4"/>
  <c r="L70" i="4"/>
  <c r="L60" i="4"/>
  <c r="L71" i="4"/>
  <c r="L61" i="4"/>
  <c r="L72" i="4"/>
  <c r="L62" i="4"/>
  <c r="L73" i="4"/>
  <c r="L40" i="4"/>
  <c r="L51" i="4"/>
  <c r="L41" i="4"/>
  <c r="L42" i="4"/>
  <c r="L43" i="4"/>
  <c r="L44" i="4"/>
  <c r="L45" i="4"/>
  <c r="L46" i="4"/>
  <c r="L47" i="4"/>
  <c r="L37" i="4"/>
  <c r="L48" i="4"/>
  <c r="L38" i="4"/>
  <c r="L49" i="4"/>
  <c r="L39" i="4"/>
  <c r="L50" i="4"/>
  <c r="L28" i="4"/>
  <c r="L29" i="4"/>
  <c r="L30" i="4"/>
  <c r="L31" i="4"/>
  <c r="L32" i="4"/>
  <c r="L33" i="4"/>
  <c r="L34" i="4"/>
  <c r="L35" i="4"/>
  <c r="L36" i="4"/>
  <c r="L15" i="4"/>
  <c r="L26" i="4"/>
  <c r="L16" i="4"/>
  <c r="L27" i="4"/>
  <c r="L17" i="4"/>
  <c r="L18" i="4"/>
  <c r="L19" i="4"/>
  <c r="L20" i="4"/>
  <c r="L21" i="4"/>
  <c r="L22" i="4"/>
  <c r="L23" i="4"/>
  <c r="L24" i="4"/>
  <c r="L25" i="4"/>
  <c r="L8" i="4"/>
  <c r="L9" i="4"/>
  <c r="L10" i="4"/>
  <c r="L11" i="4"/>
  <c r="L12" i="4"/>
  <c r="L13" i="4"/>
  <c r="L14" i="4"/>
  <c r="L7" i="4"/>
  <c r="P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<sst xmlns="http://schemas.openxmlformats.org/spreadsheetml/2006/main" count="32" uniqueCount="32">
  <si>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</si>
  <si>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</si>
  <si>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</si>
  <si>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</si>
  <si>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</si>
  <si>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</si>
  <si>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</si>
  <si>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</si>
  <si>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</si>
  <si>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</si>
  <si>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</si>
  <si>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</si>
  <si>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</si>
  <si>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</si>
  <si>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</si>
  <si>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</si>
  <si>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</si>
  <si>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</si>
  <si>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</si>
  <si>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</si>
  <si>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</si>
  <si>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</si>
  <si>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use \fi.ucurve.bootstrap</t>
  </si>
  <si>
    <t>t</t>
  </si>
  <si>
    <t>spot</t>
  </si>
  <si>
    <t>forward</t>
  </si>
  <si>
    <t>insert graph</t>
  </si>
  <si>
    <t>plot curve here using pwflate.spot, forward</t>
  </si>
  <si>
    <t>instrument</t>
  </si>
  <si>
    <t>zero bond</t>
  </si>
  <si>
    <t>bond</t>
  </si>
  <si>
    <t>Demonstration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</si>
</sst>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"/>
  </numFmts>
  <fonts count="6" x14ac:knownFonts="1"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1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64" fontId="3" fillId="0" borderId="0">
      <alignment horizontal="center" vertical="center"/>
    </xf>
  </cellStyleXfs>
  <cellXfs count="11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  <xf numFmtId="164" fontId="3" fillId="0" borderId="0" xfId="3">
      <alignment horizontal="center" vertical="center"/>
    </xf>
    <xf numFmtId="0" fontId="5" fillId="0" borderId="0" xfId="3" applyNumberFormat="1" applyFont="1">
      <alignment horizontal="center" vertical="center"/>
    </xf>
    <xf numFmtId="0" fontId="5" fillId="0" borderId="0" xfId="0" applyFont="1"/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Spot</a:t>
            </a:r>
            <a:r>
              <a:rPr lang="en-US" baseline="0"/>
              <a:t> and Forward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Bootstrap!$L$6</c:f>
              <c:strCache>
                <c:ptCount val="1"/>
                <c:pt idx="0">
                  <c:v>spot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Bootstrap!$K$7:$K$75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cat>
          <c:val>
            <c:numRef>
              <c:f>Bootstrap!$L$7:$L$75</c:f>
              <c:numCache>
                <c:formatCode>General</c:formatCode>
                <c:ptCount val="69"/>
                <c:pt idx="0">
                  <c:v>3.715831656820115E-2</c:v>
                </c:pt>
                <c:pt idx="1">
                  <c:v>3.7323037168694624E-2</c:v>
                </c:pt>
                <c:pt idx="2">
                  <c:v>3.7294240837115154E-2</c:v>
                </c:pt>
                <c:pt idx="3">
                  <c:v>3.721079054557859E-2</c:v>
                </c:pt>
                <c:pt idx="4">
                  <c:v>3.6778519999290514E-2</c:v>
                </c:pt>
                <c:pt idx="5">
                  <c:v>3.632691013270551E-2</c:v>
                </c:pt>
                <c:pt idx="6">
                  <c:v>3.6059207069266165E-2</c:v>
                </c:pt>
                <c:pt idx="7">
                  <c:v>3.5867990595380914E-2</c:v>
                </c:pt>
                <c:pt idx="8">
                  <c:v>3.5724578239966977E-2</c:v>
                </c:pt>
                <c:pt idx="9">
                  <c:v>3.5613035296867254E-2</c:v>
                </c:pt>
                <c:pt idx="10">
                  <c:v>3.5523800942387468E-2</c:v>
                </c:pt>
                <c:pt idx="11">
                  <c:v>3.4565988638108697E-2</c:v>
                </c:pt>
                <c:pt idx="12">
                  <c:v>3.4087082485969311E-2</c:v>
                </c:pt>
                <c:pt idx="13">
                  <c:v>3.4271966353096553E-2</c:v>
                </c:pt>
                <c:pt idx="14">
                  <c:v>3.4395222264514712E-2</c:v>
                </c:pt>
                <c:pt idx="15">
                  <c:v>3.4979007110321814E-2</c:v>
                </c:pt>
                <c:pt idx="16">
                  <c:v>3.5416845744677142E-2</c:v>
                </c:pt>
                <c:pt idx="17">
                  <c:v>3.5757386904731278E-2</c:v>
                </c:pt>
                <c:pt idx="18">
                  <c:v>3.6029819832774604E-2</c:v>
                </c:pt>
                <c:pt idx="19">
                  <c:v>3.6699769586277319E-2</c:v>
                </c:pt>
                <c:pt idx="20">
                  <c:v>3.725806104752958E-2</c:v>
                </c:pt>
                <c:pt idx="21">
                  <c:v>3.7730461514743033E-2</c:v>
                </c:pt>
                <c:pt idx="22">
                  <c:v>3.8135376200925997E-2</c:v>
                </c:pt>
                <c:pt idx="23">
                  <c:v>3.8690866617754754E-2</c:v>
                </c:pt>
                <c:pt idx="24">
                  <c:v>3.9176920732479914E-2</c:v>
                </c:pt>
                <c:pt idx="25">
                  <c:v>3.9605792010178588E-2</c:v>
                </c:pt>
                <c:pt idx="26">
                  <c:v>3.9987010923688518E-2</c:v>
                </c:pt>
                <c:pt idx="27">
                  <c:v>4.0328101530513194E-2</c:v>
                </c:pt>
                <c:pt idx="28">
                  <c:v>4.06350830766554E-2</c:v>
                </c:pt>
                <c:pt idx="29">
                  <c:v>4.1278260592309116E-2</c:v>
                </c:pt>
                <c:pt idx="30">
                  <c:v>4.1862967424721592E-2</c:v>
                </c:pt>
                <c:pt idx="31">
                  <c:v>4.2396830184750371E-2</c:v>
                </c:pt>
                <c:pt idx="32">
                  <c:v>4.2886204381443416E-2</c:v>
                </c:pt>
                <c:pt idx="33">
                  <c:v>4.3336428642401031E-2</c:v>
                </c:pt>
                <c:pt idx="34">
                  <c:v>4.3752020267900343E-2</c:v>
                </c:pt>
                <c:pt idx="35">
                  <c:v>4.413682732854788E-2</c:v>
                </c:pt>
                <c:pt idx="36">
                  <c:v>4.4494148170577723E-2</c:v>
                </c:pt>
                <c:pt idx="37">
                  <c:v>4.4826826195915853E-2</c:v>
                </c:pt>
                <c:pt idx="38">
                  <c:v>4.5137325686231439E-2</c:v>
                </c:pt>
                <c:pt idx="39">
                  <c:v>4.5427792951365377E-2</c:v>
                </c:pt>
                <c:pt idx="40">
                  <c:v>4.5700106012428444E-2</c:v>
                </c:pt>
                <c:pt idx="41">
                  <c:v>4.59559152516089E-2</c:v>
                </c:pt>
                <c:pt idx="42">
                  <c:v>4.6196676888484632E-2</c:v>
                </c:pt>
                <c:pt idx="43">
                  <c:v>4.6423680717538877E-2</c:v>
                </c:pt>
                <c:pt idx="44">
                  <c:v>4.6638073222756787E-2</c:v>
                </c:pt>
                <c:pt idx="45">
                  <c:v>4.6840876943908857E-2</c:v>
                </c:pt>
                <c:pt idx="46">
                  <c:v>4.7033006785000303E-2</c:v>
                </c:pt>
                <c:pt idx="47">
                  <c:v>4.7215283813728075E-2</c:v>
                </c:pt>
                <c:pt idx="48">
                  <c:v>4.7388446991019462E-2</c:v>
                </c:pt>
                <c:pt idx="49">
                  <c:v>4.7416517109592764E-2</c:v>
                </c:pt>
                <c:pt idx="50">
                  <c:v>4.744325055585305E-2</c:v>
                </c:pt>
                <c:pt idx="51">
                  <c:v>4.746874058600821E-2</c:v>
                </c:pt>
                <c:pt idx="52">
                  <c:v>4.7493071978429044E-2</c:v>
                </c:pt>
                <c:pt idx="53">
                  <c:v>4.7516321975631173E-2</c:v>
                </c:pt>
                <c:pt idx="54">
                  <c:v>4.7538561103389727E-2</c:v>
                </c:pt>
                <c:pt idx="55">
                  <c:v>4.7559853885286218E-2</c:v>
                </c:pt>
                <c:pt idx="56">
                  <c:v>4.7580259467937029E-2</c:v>
                </c:pt>
                <c:pt idx="57">
                  <c:v>4.7599832169663313E-2</c:v>
                </c:pt>
                <c:pt idx="58">
                  <c:v>4.7618621963320534E-2</c:v>
                </c:pt>
                <c:pt idx="59">
                  <c:v>4.7636674902324545E-2</c:v>
                </c:pt>
                <c:pt idx="60">
                  <c:v>4.7654033497520704E-2</c:v>
                </c:pt>
                <c:pt idx="61">
                  <c:v>4.767073705138871E-2</c:v>
                </c:pt>
                <c:pt idx="62">
                  <c:v>4.7686821955113451E-2</c:v>
                </c:pt>
                <c:pt idx="63">
                  <c:v>4.7702321953248202E-2</c:v>
                </c:pt>
                <c:pt idx="64">
                  <c:v>4.7717268380021001E-2</c:v>
                </c:pt>
                <c:pt idx="65">
                  <c:v>4.7731690370766675E-2</c:v>
                </c:pt>
                <c:pt idx="66">
                  <c:v>4.7745615051486646E-2</c:v>
                </c:pt>
                <c:pt idx="67">
                  <c:v>4.7759067709131367E-2</c:v>
                </c:pt>
                <c:pt idx="68">
                  <c:v>4.777207194485459E-2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10-4A59-8E24-EAFA4821760E}"/>
            </c:ext>
          </c:extLst>
        </c:ser>
        <c:ser>
          <c:idx val="2"/>
          <c:order val="2"/>
          <c:tx>
            <c:strRef>
              <c:f>Bootstrap!$M$6</c:f>
              <c:strCache>
                <c:ptCount val="1"/>
                <c:pt idx="0">
                  <c:v>forward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Bootstrap!$K$7:$K$75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cat>
          <c:val>
            <c:numRef>
              <c:f>Bootstrap!$M$7:$M$75</c:f>
              <c:numCache>
                <c:formatCode>General</c:formatCode>
                <c:ptCount val="69"/>
                <c:pt idx="0">
                  <c:v>3.715831656820115E-2</c:v>
                </c:pt>
                <c:pt idx="1">
                  <c:v>3.814664017116199E-2</c:v>
                </c:pt>
                <c:pt idx="2">
                  <c:v>3.6683596176462913E-2</c:v>
                </c:pt>
                <c:pt idx="3">
                  <c:v>3.7404183748547974E-2</c:v>
                </c:pt>
                <c:pt idx="4">
                  <c:v>3.4520470666365488E-2</c:v>
                </c:pt>
                <c:pt idx="5">
                  <c:v>3.4520470666365488E-2</c:v>
                </c:pt>
                <c:pt idx="6">
                  <c:v>3.4720691752069432E-2</c:v>
                </c:pt>
                <c:pt idx="7">
                  <c:v>3.4720691752069432E-2</c:v>
                </c:pt>
                <c:pt idx="8">
                  <c:v>3.4720691752069432E-2</c:v>
                </c:pt>
                <c:pt idx="9">
                  <c:v>3.4720691752069432E-2</c:v>
                </c:pt>
                <c:pt idx="10">
                  <c:v>3.4720691752069432E-2</c:v>
                </c:pt>
                <c:pt idx="11">
                  <c:v>3.2650364029551147E-2</c:v>
                </c:pt>
                <c:pt idx="12">
                  <c:v>3.2650364029551147E-2</c:v>
                </c:pt>
                <c:pt idx="13">
                  <c:v>3.5011501821605513E-2</c:v>
                </c:pt>
                <c:pt idx="14">
                  <c:v>3.5011501821605513E-2</c:v>
                </c:pt>
                <c:pt idx="15">
                  <c:v>3.8481716185164432E-2</c:v>
                </c:pt>
                <c:pt idx="16">
                  <c:v>3.8481716185164432E-2</c:v>
                </c:pt>
                <c:pt idx="17">
                  <c:v>3.8481716185164432E-2</c:v>
                </c:pt>
                <c:pt idx="18">
                  <c:v>3.8481716185164432E-2</c:v>
                </c:pt>
                <c:pt idx="19">
                  <c:v>4.3399267121304493E-2</c:v>
                </c:pt>
                <c:pt idx="20">
                  <c:v>4.3399267121304493E-2</c:v>
                </c:pt>
                <c:pt idx="21">
                  <c:v>4.3399267121304493E-2</c:v>
                </c:pt>
                <c:pt idx="22">
                  <c:v>4.3399267121304493E-2</c:v>
                </c:pt>
                <c:pt idx="23">
                  <c:v>4.6467732453357329E-2</c:v>
                </c:pt>
                <c:pt idx="24">
                  <c:v>4.6467732453357329E-2</c:v>
                </c:pt>
                <c:pt idx="25">
                  <c:v>4.6467732453357329E-2</c:v>
                </c:pt>
                <c:pt idx="26">
                  <c:v>4.6467732453357329E-2</c:v>
                </c:pt>
                <c:pt idx="27">
                  <c:v>4.6467732453357329E-2</c:v>
                </c:pt>
                <c:pt idx="28">
                  <c:v>4.6467732453357329E-2</c:v>
                </c:pt>
                <c:pt idx="29">
                  <c:v>5.4141810905383524E-2</c:v>
                </c:pt>
                <c:pt idx="30">
                  <c:v>5.4141810905383524E-2</c:v>
                </c:pt>
                <c:pt idx="31">
                  <c:v>5.4141810905383524E-2</c:v>
                </c:pt>
                <c:pt idx="32">
                  <c:v>5.4141810905383524E-2</c:v>
                </c:pt>
                <c:pt idx="33">
                  <c:v>5.4141810905383524E-2</c:v>
                </c:pt>
                <c:pt idx="34">
                  <c:v>5.4141810905383524E-2</c:v>
                </c:pt>
                <c:pt idx="35">
                  <c:v>5.4141810905383524E-2</c:v>
                </c:pt>
                <c:pt idx="36">
                  <c:v>5.4141810905383524E-2</c:v>
                </c:pt>
                <c:pt idx="37">
                  <c:v>5.4141810905383524E-2</c:v>
                </c:pt>
                <c:pt idx="38">
                  <c:v>5.4141810905383524E-2</c:v>
                </c:pt>
                <c:pt idx="39">
                  <c:v>5.4141810905383524E-2</c:v>
                </c:pt>
                <c:pt idx="40">
                  <c:v>5.4141810905383524E-2</c:v>
                </c:pt>
                <c:pt idx="41">
                  <c:v>5.4141810905383524E-2</c:v>
                </c:pt>
                <c:pt idx="42">
                  <c:v>5.4141810905383524E-2</c:v>
                </c:pt>
                <c:pt idx="43">
                  <c:v>5.4141810905383524E-2</c:v>
                </c:pt>
                <c:pt idx="44">
                  <c:v>5.4141810905383524E-2</c:v>
                </c:pt>
                <c:pt idx="45">
                  <c:v>5.4141810905383524E-2</c:v>
                </c:pt>
                <c:pt idx="46">
                  <c:v>5.4141810905383524E-2</c:v>
                </c:pt>
                <c:pt idx="47">
                  <c:v>5.4141810905383524E-2</c:v>
                </c:pt>
                <c:pt idx="48">
                  <c:v>5.4141810905383524E-2</c:v>
                </c:pt>
                <c:pt idx="49">
                  <c:v>4.8539321852524846E-2</c:v>
                </c:pt>
                <c:pt idx="50">
                  <c:v>4.8539321852524846E-2</c:v>
                </c:pt>
                <c:pt idx="51">
                  <c:v>4.8539321852524846E-2</c:v>
                </c:pt>
                <c:pt idx="52">
                  <c:v>4.8539321852524846E-2</c:v>
                </c:pt>
                <c:pt idx="53">
                  <c:v>4.8539321852524846E-2</c:v>
                </c:pt>
                <c:pt idx="54">
                  <c:v>4.8539321852524846E-2</c:v>
                </c:pt>
                <c:pt idx="55">
                  <c:v>4.8539321852524846E-2</c:v>
                </c:pt>
                <c:pt idx="56">
                  <c:v>4.8539321852524846E-2</c:v>
                </c:pt>
                <c:pt idx="57">
                  <c:v>4.8539321852524846E-2</c:v>
                </c:pt>
                <c:pt idx="58">
                  <c:v>4.8539321852524846E-2</c:v>
                </c:pt>
                <c:pt idx="59">
                  <c:v>4.8539321852524846E-2</c:v>
                </c:pt>
                <c:pt idx="60">
                  <c:v>4.8539321852524846E-2</c:v>
                </c:pt>
                <c:pt idx="61">
                  <c:v>4.8539321852524846E-2</c:v>
                </c:pt>
                <c:pt idx="62">
                  <c:v>4.8539321852524846E-2</c:v>
                </c:pt>
                <c:pt idx="63">
                  <c:v>4.8539321852524846E-2</c:v>
                </c:pt>
                <c:pt idx="64">
                  <c:v>4.8539321852524846E-2</c:v>
                </c:pt>
                <c:pt idx="65">
                  <c:v>4.8539321852524846E-2</c:v>
                </c:pt>
                <c:pt idx="66">
                  <c:v>4.8539321852524846E-2</c:v>
                </c:pt>
                <c:pt idx="67">
                  <c:v>4.8539321852524846E-2</c:v>
                </c:pt>
                <c:pt idx="68">
                  <c:v>4.8539321852524846E-2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10-4A59-8E24-EAFA48217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917167"/>
        <c:axId val="19091764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Bootstrap!$K$6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Bootstrap!$K$7:$K$75</c15:sqref>
                        </c15:formulaRef>
                      </c:ext>
                    </c:extLst>
                    <c:numCache>
                      <c:formatCode>General</c:formatCode>
                      <c:ptCount val="69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0.30000000000000004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0.79999999999999993</c:v>
                      </c:pt>
                      <c:pt idx="9">
                        <c:v>0.89999999999999991</c:v>
                      </c:pt>
                      <c:pt idx="10">
                        <c:v>1</c:v>
                      </c:pt>
                      <c:pt idx="11">
                        <c:v>1.5</c:v>
                      </c:pt>
                      <c:pt idx="12">
                        <c:v>2</c:v>
                      </c:pt>
                      <c:pt idx="13">
                        <c:v>2.5</c:v>
                      </c:pt>
                      <c:pt idx="14">
                        <c:v>3</c:v>
                      </c:pt>
                      <c:pt idx="15">
                        <c:v>3.5</c:v>
                      </c:pt>
                      <c:pt idx="16">
                        <c:v>4</c:v>
                      </c:pt>
                      <c:pt idx="17">
                        <c:v>4.5</c:v>
                      </c:pt>
                      <c:pt idx="18">
                        <c:v>5</c:v>
                      </c:pt>
                      <c:pt idx="19">
                        <c:v>5.5</c:v>
                      </c:pt>
                      <c:pt idx="20">
                        <c:v>6</c:v>
                      </c:pt>
                      <c:pt idx="21">
                        <c:v>6.5</c:v>
                      </c:pt>
                      <c:pt idx="22">
                        <c:v>7</c:v>
                      </c:pt>
                      <c:pt idx="23">
                        <c:v>7.5</c:v>
                      </c:pt>
                      <c:pt idx="24">
                        <c:v>8</c:v>
                      </c:pt>
                      <c:pt idx="25">
                        <c:v>8.5</c:v>
                      </c:pt>
                      <c:pt idx="26">
                        <c:v>9</c:v>
                      </c:pt>
                      <c:pt idx="27">
                        <c:v>9.5</c:v>
                      </c:pt>
                      <c:pt idx="28">
                        <c:v>10</c:v>
                      </c:pt>
                      <c:pt idx="29">
                        <c:v>10.5</c:v>
                      </c:pt>
                      <c:pt idx="30">
                        <c:v>11</c:v>
                      </c:pt>
                      <c:pt idx="31">
                        <c:v>11.5</c:v>
                      </c:pt>
                      <c:pt idx="32">
                        <c:v>12</c:v>
                      </c:pt>
                      <c:pt idx="33">
                        <c:v>12.5</c:v>
                      </c:pt>
                      <c:pt idx="34">
                        <c:v>13</c:v>
                      </c:pt>
                      <c:pt idx="35">
                        <c:v>13.5</c:v>
                      </c:pt>
                      <c:pt idx="36">
                        <c:v>14</c:v>
                      </c:pt>
                      <c:pt idx="37">
                        <c:v>14.5</c:v>
                      </c:pt>
                      <c:pt idx="38">
                        <c:v>15</c:v>
                      </c:pt>
                      <c:pt idx="39">
                        <c:v>15.5</c:v>
                      </c:pt>
                      <c:pt idx="40">
                        <c:v>16</c:v>
                      </c:pt>
                      <c:pt idx="41">
                        <c:v>16.5</c:v>
                      </c:pt>
                      <c:pt idx="42">
                        <c:v>17</c:v>
                      </c:pt>
                      <c:pt idx="43">
                        <c:v>17.5</c:v>
                      </c:pt>
                      <c:pt idx="44">
                        <c:v>18</c:v>
                      </c:pt>
                      <c:pt idx="45">
                        <c:v>18.5</c:v>
                      </c:pt>
                      <c:pt idx="46">
                        <c:v>19</c:v>
                      </c:pt>
                      <c:pt idx="47">
                        <c:v>19.5</c:v>
                      </c:pt>
                      <c:pt idx="48">
                        <c:v>20</c:v>
                      </c:pt>
                      <c:pt idx="49">
                        <c:v>20.5</c:v>
                      </c:pt>
                      <c:pt idx="50">
                        <c:v>21</c:v>
                      </c:pt>
                      <c:pt idx="51">
                        <c:v>21.5</c:v>
                      </c:pt>
                      <c:pt idx="52">
                        <c:v>22</c:v>
                      </c:pt>
                      <c:pt idx="53">
                        <c:v>22.5</c:v>
                      </c:pt>
                      <c:pt idx="54">
                        <c:v>23</c:v>
                      </c:pt>
                      <c:pt idx="55">
                        <c:v>23.5</c:v>
                      </c:pt>
                      <c:pt idx="56">
                        <c:v>24</c:v>
                      </c:pt>
                      <c:pt idx="57">
                        <c:v>24.5</c:v>
                      </c:pt>
                      <c:pt idx="58">
                        <c:v>25</c:v>
                      </c:pt>
                      <c:pt idx="59">
                        <c:v>25.5</c:v>
                      </c:pt>
                      <c:pt idx="60">
                        <c:v>26</c:v>
                      </c:pt>
                      <c:pt idx="61">
                        <c:v>26.5</c:v>
                      </c:pt>
                      <c:pt idx="62">
                        <c:v>27</c:v>
                      </c:pt>
                      <c:pt idx="63">
                        <c:v>27.5</c:v>
                      </c:pt>
                      <c:pt idx="64">
                        <c:v>28</c:v>
                      </c:pt>
                      <c:pt idx="65">
                        <c:v>28.5</c:v>
                      </c:pt>
                      <c:pt idx="66">
                        <c:v>29</c:v>
                      </c:pt>
                      <c:pt idx="67">
                        <c:v>29.5</c:v>
                      </c:pt>
                      <c:pt idx="68">
                        <c:v>30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Bootstrap!$K$7:$K$75</c15:sqref>
                        </c15:formulaRef>
                      </c:ext>
                    </c:extLst>
                    <c:numCache>
                      <c:formatCode>General</c:formatCode>
                      <c:ptCount val="69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0.30000000000000004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0.79999999999999993</c:v>
                      </c:pt>
                      <c:pt idx="9">
                        <c:v>0.89999999999999991</c:v>
                      </c:pt>
                      <c:pt idx="10">
                        <c:v>1</c:v>
                      </c:pt>
                      <c:pt idx="11">
                        <c:v>1.5</c:v>
                      </c:pt>
                      <c:pt idx="12">
                        <c:v>2</c:v>
                      </c:pt>
                      <c:pt idx="13">
                        <c:v>2.5</c:v>
                      </c:pt>
                      <c:pt idx="14">
                        <c:v>3</c:v>
                      </c:pt>
                      <c:pt idx="15">
                        <c:v>3.5</c:v>
                      </c:pt>
                      <c:pt idx="16">
                        <c:v>4</c:v>
                      </c:pt>
                      <c:pt idx="17">
                        <c:v>4.5</c:v>
                      </c:pt>
                      <c:pt idx="18">
                        <c:v>5</c:v>
                      </c:pt>
                      <c:pt idx="19">
                        <c:v>5.5</c:v>
                      </c:pt>
                      <c:pt idx="20">
                        <c:v>6</c:v>
                      </c:pt>
                      <c:pt idx="21">
                        <c:v>6.5</c:v>
                      </c:pt>
                      <c:pt idx="22">
                        <c:v>7</c:v>
                      </c:pt>
                      <c:pt idx="23">
                        <c:v>7.5</c:v>
                      </c:pt>
                      <c:pt idx="24">
                        <c:v>8</c:v>
                      </c:pt>
                      <c:pt idx="25">
                        <c:v>8.5</c:v>
                      </c:pt>
                      <c:pt idx="26">
                        <c:v>9</c:v>
                      </c:pt>
                      <c:pt idx="27">
                        <c:v>9.5</c:v>
                      </c:pt>
                      <c:pt idx="28">
                        <c:v>10</c:v>
                      </c:pt>
                      <c:pt idx="29">
                        <c:v>10.5</c:v>
                      </c:pt>
                      <c:pt idx="30">
                        <c:v>11</c:v>
                      </c:pt>
                      <c:pt idx="31">
                        <c:v>11.5</c:v>
                      </c:pt>
                      <c:pt idx="32">
                        <c:v>12</c:v>
                      </c:pt>
                      <c:pt idx="33">
                        <c:v>12.5</c:v>
                      </c:pt>
                      <c:pt idx="34">
                        <c:v>13</c:v>
                      </c:pt>
                      <c:pt idx="35">
                        <c:v>13.5</c:v>
                      </c:pt>
                      <c:pt idx="36">
                        <c:v>14</c:v>
                      </c:pt>
                      <c:pt idx="37">
                        <c:v>14.5</c:v>
                      </c:pt>
                      <c:pt idx="38">
                        <c:v>15</c:v>
                      </c:pt>
                      <c:pt idx="39">
                        <c:v>15.5</c:v>
                      </c:pt>
                      <c:pt idx="40">
                        <c:v>16</c:v>
                      </c:pt>
                      <c:pt idx="41">
                        <c:v>16.5</c:v>
                      </c:pt>
                      <c:pt idx="42">
                        <c:v>17</c:v>
                      </c:pt>
                      <c:pt idx="43">
                        <c:v>17.5</c:v>
                      </c:pt>
                      <c:pt idx="44">
                        <c:v>18</c:v>
                      </c:pt>
                      <c:pt idx="45">
                        <c:v>18.5</c:v>
                      </c:pt>
                      <c:pt idx="46">
                        <c:v>19</c:v>
                      </c:pt>
                      <c:pt idx="47">
                        <c:v>19.5</c:v>
                      </c:pt>
                      <c:pt idx="48">
                        <c:v>20</c:v>
                      </c:pt>
                      <c:pt idx="49">
                        <c:v>20.5</c:v>
                      </c:pt>
                      <c:pt idx="50">
                        <c:v>21</c:v>
                      </c:pt>
                      <c:pt idx="51">
                        <c:v>21.5</c:v>
                      </c:pt>
                      <c:pt idx="52">
                        <c:v>22</c:v>
                      </c:pt>
                      <c:pt idx="53">
                        <c:v>22.5</c:v>
                      </c:pt>
                      <c:pt idx="54">
                        <c:v>23</c:v>
                      </c:pt>
                      <c:pt idx="55">
                        <c:v>23.5</c:v>
                      </c:pt>
                      <c:pt idx="56">
                        <c:v>24</c:v>
                      </c:pt>
                      <c:pt idx="57">
                        <c:v>24.5</c:v>
                      </c:pt>
                      <c:pt idx="58">
                        <c:v>25</c:v>
                      </c:pt>
                      <c:pt idx="59">
                        <c:v>25.5</c:v>
                      </c:pt>
                      <c:pt idx="60">
                        <c:v>26</c:v>
                      </c:pt>
                      <c:pt idx="61">
                        <c:v>26.5</c:v>
                      </c:pt>
                      <c:pt idx="62">
                        <c:v>27</c:v>
                      </c:pt>
                      <c:pt idx="63">
                        <c:v>27.5</c:v>
                      </c:pt>
                      <c:pt idx="64">
                        <c:v>28</c:v>
                      </c:pt>
                      <c:pt idx="65">
                        <c:v>28.5</c:v>
                      </c:pt>
                      <c:pt idx="66">
                        <c:v>29</c:v>
                      </c:pt>
                      <c:pt idx="67">
                        <c:v>29.5</c:v>
                      </c:pt>
                      <c:pt idx="68">
                        <c:v>30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910-4A59-8E24-EAFA4821760E}"/>
                  </c:ext>
                </c:extLst>
              </c15:ser>
            </c15:filteredLineSeries>
          </c:ext>
        </c:extLst>
      </c:lineChart>
      <c:catAx>
        <c:axId val="1909171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17647"/>
        <c:crosses val="autoZero"/>
        <c:auto val="1"/>
        <c:lblAlgn val="ctr"/>
        <c:lblOffset val="100"/>
        <c:noMultiLvlLbl val="0"/>
      </c:catAx>
      <c:valAx>
        <c:axId val="190917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17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31976</xdr:colOff>
      <xdr:row>9</xdr:row>
      <xdr:rowOff>2041</xdr:rowOff>
    </xdr:from>
    <xdr:to>
      <xdr:col>20</xdr:col>
      <xdr:colOff>184376</xdr:colOff>
      <xdr:row>20</xdr:row>
      <xdr:rowOff>125866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07E9CD-A2C6-77AD-1AE0-48457CA67C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40"/>
  <sheetViews>
    <sheetView topLeftCell="A2" workbookViewId="0">
      <selection activeCell="B6" sqref="B6"/>
    </sheetView>
  </sheetViews>
  <sheetFormatPr defaultRowHeight="18" x14ac:dyDescent="0.35"/>
  <sheetData>
    <row r="2" spans="2:16" x14ac:dyDescent="0.35">
      <c r="B2" s="1" t="s">
        <v>0</v>
      </c>
    </row>
    <row r="4" spans="2:16" x14ac:dyDescent="0.35">
      <c r="B4" t="str">
        <f>_xlfn.WEBSERVICE(B2)</f>
        <v>Date,"1 Mo","1.5 Month","2 Mo","3 Mo","4 Mo","6 Mo","1 Yr","2 Yr","3 Yr","5 Yr","7 Yr","10 Yr","20 Yr","30 Yr"
02/20/2026,3.72,3.73,3.74,3.69,3.71,3.61,3.51,3.48,3.50,3.65,3.85,4.08,4.66,4.72
02/19/2026,3.72,3.74,3.75,3.69,3.70,3.60,3.50,3.47,3.50,3.65,3.85,4.08,4.64,4.70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35">
      <c r="B6" t="str" cm="1">
        <f t="array" ref="B6:P40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35">
      <c r="B7" t="str">
        <v>02/20/2026</v>
      </c>
      <c r="C7" t="str">
        <v>3.72</v>
      </c>
      <c r="D7" t="str">
        <v>3.73</v>
      </c>
      <c r="E7" t="str">
        <v>3.74</v>
      </c>
      <c r="F7" t="str">
        <v>3.69</v>
      </c>
      <c r="G7" t="str">
        <v>3.71</v>
      </c>
      <c r="H7" t="str">
        <v>3.61</v>
      </c>
      <c r="I7" t="str">
        <v>3.51</v>
      </c>
      <c r="J7" t="str">
        <v>3.48</v>
      </c>
      <c r="K7" t="str">
        <v>3.50</v>
      </c>
      <c r="L7" t="str">
        <v>3.65</v>
      </c>
      <c r="M7" t="str">
        <v>3.85</v>
      </c>
      <c r="N7" t="str">
        <v>4.08</v>
      </c>
      <c r="O7" t="str">
        <v>4.66</v>
      </c>
      <c r="P7" t="str">
        <v>4.72</v>
      </c>
    </row>
    <row r="8" spans="2:16" x14ac:dyDescent="0.35">
      <c r="B8" t="str">
        <v>02/19/2026</v>
      </c>
      <c r="C8" t="str">
        <v>3.72</v>
      </c>
      <c r="D8" t="str">
        <v>3.74</v>
      </c>
      <c r="E8" t="str">
        <v>3.75</v>
      </c>
      <c r="F8" t="str">
        <v>3.69</v>
      </c>
      <c r="G8" t="str">
        <v>3.70</v>
      </c>
      <c r="H8" t="str">
        <v>3.60</v>
      </c>
      <c r="I8" t="str">
        <v>3.50</v>
      </c>
      <c r="J8" t="str">
        <v>3.47</v>
      </c>
      <c r="K8" t="str">
        <v>3.50</v>
      </c>
      <c r="L8" t="str">
        <v>3.65</v>
      </c>
      <c r="M8" t="str">
        <v>3.85</v>
      </c>
      <c r="N8" t="str">
        <v>4.08</v>
      </c>
      <c r="O8" t="str">
        <v>4.64</v>
      </c>
      <c r="P8" t="str">
        <v>4.70</v>
      </c>
    </row>
    <row r="9" spans="2:16" x14ac:dyDescent="0.35">
      <c r="B9" t="str">
        <v>02/18/2026</v>
      </c>
      <c r="C9" t="str">
        <v>3.71</v>
      </c>
      <c r="D9" t="str">
        <v>3.74</v>
      </c>
      <c r="E9" t="str">
        <v>3.73</v>
      </c>
      <c r="F9" t="str">
        <v>3.70</v>
      </c>
      <c r="G9" t="str">
        <v>3.70</v>
      </c>
      <c r="H9" t="str">
        <v>3.60</v>
      </c>
      <c r="I9" t="str">
        <v>3.49</v>
      </c>
      <c r="J9" t="str">
        <v>3.47</v>
      </c>
      <c r="K9" t="str">
        <v>3.50</v>
      </c>
      <c r="L9" t="str">
        <v>3.66</v>
      </c>
      <c r="M9" t="str">
        <v>3.86</v>
      </c>
      <c r="N9" t="str">
        <v>4.09</v>
      </c>
      <c r="O9" t="str">
        <v>4.65</v>
      </c>
      <c r="P9" t="str">
        <v>4.71</v>
      </c>
    </row>
    <row r="10" spans="2:16" x14ac:dyDescent="0.35">
      <c r="B10" t="str">
        <v>02/17/2026</v>
      </c>
      <c r="C10" t="str">
        <v>3.72</v>
      </c>
      <c r="D10" t="str">
        <v>3.75</v>
      </c>
      <c r="E10" t="str">
        <v>3.73</v>
      </c>
      <c r="F10" t="str">
        <v>3.69</v>
      </c>
      <c r="G10" t="str">
        <v>3.70</v>
      </c>
      <c r="H10" t="str">
        <v>3.59</v>
      </c>
      <c r="I10" t="str">
        <v>3.48</v>
      </c>
      <c r="J10" t="str">
        <v>3.43</v>
      </c>
      <c r="K10" t="str">
        <v>3.47</v>
      </c>
      <c r="L10" t="str">
        <v>3.63</v>
      </c>
      <c r="M10" t="str">
        <v>3.82</v>
      </c>
      <c r="N10" t="str">
        <v>4.05</v>
      </c>
      <c r="O10" t="str">
        <v>4.63</v>
      </c>
      <c r="P10" t="str">
        <v>4.68</v>
      </c>
    </row>
    <row r="11" spans="2:16" x14ac:dyDescent="0.35">
      <c r="B11" t="str">
        <v>02/13/2026</v>
      </c>
      <c r="C11" t="str">
        <v>3.72</v>
      </c>
      <c r="D11" t="str">
        <v>3.71</v>
      </c>
      <c r="E11" t="str">
        <v>3.73</v>
      </c>
      <c r="F11" t="str">
        <v>3.68</v>
      </c>
      <c r="G11" t="str">
        <v>3.70</v>
      </c>
      <c r="H11" t="str">
        <v>3.59</v>
      </c>
      <c r="I11" t="str">
        <v>3.42</v>
      </c>
      <c r="J11" t="str">
        <v>3.40</v>
      </c>
      <c r="K11" t="str">
        <v>3.43</v>
      </c>
      <c r="L11" t="str">
        <v>3.61</v>
      </c>
      <c r="M11" t="str">
        <v>3.81</v>
      </c>
      <c r="N11" t="str">
        <v>4.04</v>
      </c>
      <c r="O11" t="str">
        <v>4.64</v>
      </c>
      <c r="P11" t="str">
        <v>4.69</v>
      </c>
    </row>
    <row r="12" spans="2:16" x14ac:dyDescent="0.35">
      <c r="B12" t="str">
        <v>02/12/2026</v>
      </c>
      <c r="C12" t="str">
        <v>3.72</v>
      </c>
      <c r="D12" t="str">
        <v>3.71</v>
      </c>
      <c r="E12" t="str">
        <v>3.74</v>
      </c>
      <c r="F12" t="str">
        <v>3.70</v>
      </c>
      <c r="G12" t="str">
        <v>3.70</v>
      </c>
      <c r="H12" t="str">
        <v>3.58</v>
      </c>
      <c r="I12" t="str">
        <v>3.45</v>
      </c>
      <c r="J12" t="str">
        <v>3.47</v>
      </c>
      <c r="K12" t="str">
        <v>3.49</v>
      </c>
      <c r="L12" t="str">
        <v>3.67</v>
      </c>
      <c r="M12" t="str">
        <v>3.87</v>
      </c>
      <c r="N12" t="str">
        <v>4.09</v>
      </c>
      <c r="O12" t="str">
        <v>4.68</v>
      </c>
      <c r="P12" t="str">
        <v>4.72</v>
      </c>
    </row>
    <row r="13" spans="2:16" x14ac:dyDescent="0.35">
      <c r="B13" t="str">
        <v>02/11/2026</v>
      </c>
      <c r="C13" t="str">
        <v>3.71</v>
      </c>
      <c r="D13" t="str">
        <v>3.71</v>
      </c>
      <c r="E13" t="str">
        <v>3.73</v>
      </c>
      <c r="F13" t="str">
        <v>3.70</v>
      </c>
      <c r="G13" t="str">
        <v>3.70</v>
      </c>
      <c r="H13" t="str">
        <v>3.60</v>
      </c>
      <c r="I13" t="str">
        <v>3.47</v>
      </c>
      <c r="J13" t="str">
        <v>3.52</v>
      </c>
      <c r="K13" t="str">
        <v>3.55</v>
      </c>
      <c r="L13" t="str">
        <v>3.75</v>
      </c>
      <c r="M13" t="str">
        <v>3.96</v>
      </c>
      <c r="N13" t="str">
        <v>4.18</v>
      </c>
      <c r="O13" t="str">
        <v>4.76</v>
      </c>
      <c r="P13" t="str">
        <v>4.82</v>
      </c>
    </row>
    <row r="14" spans="2:16" x14ac:dyDescent="0.35">
      <c r="B14" t="str">
        <v>02/10/2026</v>
      </c>
      <c r="C14" t="str">
        <v>3.72</v>
      </c>
      <c r="D14" t="str">
        <v>3.72</v>
      </c>
      <c r="E14" t="str">
        <v>3.74</v>
      </c>
      <c r="F14" t="str">
        <v>3.69</v>
      </c>
      <c r="G14" t="str">
        <v>3.69</v>
      </c>
      <c r="H14" t="str">
        <v>3.58</v>
      </c>
      <c r="I14" t="str">
        <v>3.40</v>
      </c>
      <c r="J14" t="str">
        <v>3.45</v>
      </c>
      <c r="K14" t="str">
        <v>3.50</v>
      </c>
      <c r="L14" t="str">
        <v>3.70</v>
      </c>
      <c r="M14" t="str">
        <v>3.92</v>
      </c>
      <c r="N14" t="str">
        <v>4.16</v>
      </c>
      <c r="O14" t="str">
        <v>4.73</v>
      </c>
      <c r="P14" t="str">
        <v>4.78</v>
      </c>
    </row>
    <row r="15" spans="2:16" x14ac:dyDescent="0.35">
      <c r="B15" t="str">
        <v>02/09/2026</v>
      </c>
      <c r="C15" t="str">
        <v>3.72</v>
      </c>
      <c r="D15" t="str">
        <v>3.72</v>
      </c>
      <c r="E15" t="str">
        <v>3.73</v>
      </c>
      <c r="F15" t="str">
        <v>3.69</v>
      </c>
      <c r="G15" t="str">
        <v>3.70</v>
      </c>
      <c r="H15" t="str">
        <v>3.59</v>
      </c>
      <c r="I15" t="str">
        <v>3.43</v>
      </c>
      <c r="J15" t="str">
        <v>3.48</v>
      </c>
      <c r="K15" t="str">
        <v>3.56</v>
      </c>
      <c r="L15" t="str">
        <v>3.75</v>
      </c>
      <c r="M15" t="str">
        <v>3.97</v>
      </c>
      <c r="N15" t="str">
        <v>4.22</v>
      </c>
      <c r="O15" t="str">
        <v>4.79</v>
      </c>
      <c r="P15" t="str">
        <v>4.85</v>
      </c>
    </row>
    <row r="16" spans="2:16" x14ac:dyDescent="0.35">
      <c r="B16" t="str">
        <v>02/06/2026</v>
      </c>
      <c r="C16" t="str">
        <v>3.72</v>
      </c>
      <c r="D16" t="str">
        <v>3.72</v>
      </c>
      <c r="E16" t="str">
        <v>3.74</v>
      </c>
      <c r="F16" t="str">
        <v>3.68</v>
      </c>
      <c r="G16" t="str">
        <v>3.70</v>
      </c>
      <c r="H16" t="str">
        <v>3.59</v>
      </c>
      <c r="I16" t="str">
        <v>3.45</v>
      </c>
      <c r="J16" t="str">
        <v>3.50</v>
      </c>
      <c r="K16" t="str">
        <v>3.57</v>
      </c>
      <c r="L16" t="str">
        <v>3.76</v>
      </c>
      <c r="M16" t="str">
        <v>3.98</v>
      </c>
      <c r="N16" t="str">
        <v>4.22</v>
      </c>
      <c r="O16" t="str">
        <v>4.80</v>
      </c>
      <c r="P16" t="str">
        <v>4.85</v>
      </c>
    </row>
    <row r="17" spans="2:16" x14ac:dyDescent="0.35">
      <c r="B17" t="str">
        <v>02/05/2026</v>
      </c>
      <c r="C17" t="str">
        <v>3.72</v>
      </c>
      <c r="D17" t="str">
        <v>3.71</v>
      </c>
      <c r="E17" t="str">
        <v>3.74</v>
      </c>
      <c r="F17" t="str">
        <v>3.67</v>
      </c>
      <c r="G17" t="str">
        <v>3.68</v>
      </c>
      <c r="H17" t="str">
        <v>3.58</v>
      </c>
      <c r="I17" t="str">
        <v>3.44</v>
      </c>
      <c r="J17" t="str">
        <v>3.47</v>
      </c>
      <c r="K17" t="str">
        <v>3.55</v>
      </c>
      <c r="L17" t="str">
        <v>3.74</v>
      </c>
      <c r="M17" t="str">
        <v>3.97</v>
      </c>
      <c r="N17" t="str">
        <v>4.21</v>
      </c>
      <c r="O17" t="str">
        <v>4.79</v>
      </c>
      <c r="P17" t="str">
        <v>4.85</v>
      </c>
    </row>
    <row r="18" spans="2:16" x14ac:dyDescent="0.35">
      <c r="B18" t="str">
        <v>02/04/2026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4.86</v>
      </c>
      <c r="P18" t="str">
        <v>4.91</v>
      </c>
    </row>
    <row r="19" spans="2:16" x14ac:dyDescent="0.35">
      <c r="B19" t="str">
        <v>02/03/2026</v>
      </c>
      <c r="C19" t="str">
        <v>3.72</v>
      </c>
      <c r="D19" t="str">
        <v>3.72</v>
      </c>
      <c r="E19" t="str">
        <v>3.74</v>
      </c>
      <c r="F19" t="str">
        <v>3.69</v>
      </c>
      <c r="G19" t="str">
        <v>3.70</v>
      </c>
      <c r="H19" t="str">
        <v>3.62</v>
      </c>
      <c r="I19" t="str">
        <v>3.49</v>
      </c>
      <c r="J19" t="str">
        <v>3.57</v>
      </c>
      <c r="K19" t="str">
        <v>3.64</v>
      </c>
      <c r="L19" t="str">
        <v>3.83</v>
      </c>
      <c r="M19" t="str">
        <v>4.04</v>
      </c>
      <c r="N19" t="str">
        <v>4.28</v>
      </c>
      <c r="O19" t="str">
        <v>4.85</v>
      </c>
      <c r="P19" t="str">
        <v>4.90</v>
      </c>
    </row>
    <row r="20" spans="2:16" x14ac:dyDescent="0.35">
      <c r="B20" t="str">
        <v>02/02/2026</v>
      </c>
      <c r="C20" t="str">
        <v>3.72</v>
      </c>
      <c r="D20" t="str">
        <v>3.72</v>
      </c>
      <c r="E20" t="str">
        <v>3.74</v>
      </c>
      <c r="F20" t="str">
        <v>3.69</v>
      </c>
      <c r="G20" t="str">
        <v>3.70</v>
      </c>
      <c r="H20" t="str">
        <v>3.62</v>
      </c>
      <c r="I20" t="str">
        <v>3.49</v>
      </c>
      <c r="J20" t="str">
        <v>3.57</v>
      </c>
      <c r="K20" t="str">
        <v>3.64</v>
      </c>
      <c r="L20" t="str">
        <v>3.83</v>
      </c>
      <c r="M20" t="str">
        <v>4.05</v>
      </c>
      <c r="N20" t="str">
        <v>4.29</v>
      </c>
      <c r="O20" t="str">
        <v>4.85</v>
      </c>
      <c r="P20" t="str">
        <v>4.90</v>
      </c>
    </row>
    <row r="21" spans="2:16" x14ac:dyDescent="0.35">
      <c r="B21" t="str">
        <v>01/30/2026</v>
      </c>
      <c r="C21" t="str">
        <v>3.72</v>
      </c>
      <c r="D21" t="str">
        <v>3.73</v>
      </c>
      <c r="E21" t="str">
        <v>3.75</v>
      </c>
      <c r="F21" t="str">
        <v>3.67</v>
      </c>
      <c r="G21" t="str">
        <v>3.69</v>
      </c>
      <c r="H21" t="str">
        <v>3.61</v>
      </c>
      <c r="I21" t="str">
        <v>3.48</v>
      </c>
      <c r="J21" t="str">
        <v>3.52</v>
      </c>
      <c r="K21" t="str">
        <v>3.60</v>
      </c>
      <c r="L21" t="str">
        <v>3.79</v>
      </c>
      <c r="M21" t="str">
        <v>4.01</v>
      </c>
      <c r="N21" t="str">
        <v>4.26</v>
      </c>
      <c r="O21" t="str">
        <v>4.82</v>
      </c>
      <c r="P21" t="str">
        <v>4.87</v>
      </c>
    </row>
    <row r="22" spans="2:16" x14ac:dyDescent="0.35">
      <c r="B22" t="str">
        <v>01/29/2026</v>
      </c>
      <c r="C22" t="str">
        <v>3.72</v>
      </c>
      <c r="D22" t="str">
        <v>3.73</v>
      </c>
      <c r="E22" t="str">
        <v>3.75</v>
      </c>
      <c r="F22" t="str">
        <v>3.67</v>
      </c>
      <c r="G22" t="str">
        <v>3.69</v>
      </c>
      <c r="H22" t="str">
        <v>3.62</v>
      </c>
      <c r="I22" t="str">
        <v>3.50</v>
      </c>
      <c r="J22" t="str">
        <v>3.53</v>
      </c>
      <c r="K22" t="str">
        <v>3.63</v>
      </c>
      <c r="L22" t="str">
        <v>3.80</v>
      </c>
      <c r="M22" t="str">
        <v>4.01</v>
      </c>
      <c r="N22" t="str">
        <v>4.24</v>
      </c>
      <c r="O22" t="str">
        <v>4.80</v>
      </c>
      <c r="P22" t="str">
        <v>4.85</v>
      </c>
    </row>
    <row r="23" spans="2:16" x14ac:dyDescent="0.35">
      <c r="B23" t="str">
        <v>01/28/2026</v>
      </c>
      <c r="C23" t="str">
        <v>3.76</v>
      </c>
      <c r="D23" t="str">
        <v>3.72</v>
      </c>
      <c r="E23" t="str">
        <v>3.71</v>
      </c>
      <c r="F23" t="str">
        <v>3.68</v>
      </c>
      <c r="G23" t="str">
        <v>3.70</v>
      </c>
      <c r="H23" t="str">
        <v>3.63</v>
      </c>
      <c r="I23" t="str">
        <v>3.52</v>
      </c>
      <c r="J23" t="str">
        <v>3.56</v>
      </c>
      <c r="K23" t="str">
        <v>3.66</v>
      </c>
      <c r="L23" t="str">
        <v>3.83</v>
      </c>
      <c r="M23" t="str">
        <v>4.05</v>
      </c>
      <c r="N23" t="str">
        <v>4.26</v>
      </c>
      <c r="O23" t="str">
        <v>4.81</v>
      </c>
      <c r="P23" t="str">
        <v>4.85</v>
      </c>
    </row>
    <row r="24" spans="2:16" x14ac:dyDescent="0.35">
      <c r="B24" t="str">
        <v>01/27/2026</v>
      </c>
      <c r="C24" t="str">
        <v>3.77</v>
      </c>
      <c r="D24" t="str">
        <v>3.72</v>
      </c>
      <c r="E24" t="str">
        <v>3.70</v>
      </c>
      <c r="F24" t="str">
        <v>3.67</v>
      </c>
      <c r="G24" t="str">
        <v>3.66</v>
      </c>
      <c r="H24" t="str">
        <v>3.61</v>
      </c>
      <c r="I24" t="str">
        <v>3.50</v>
      </c>
      <c r="J24" t="str">
        <v>3.53</v>
      </c>
      <c r="K24" t="str">
        <v>3.65</v>
      </c>
      <c r="L24" t="str">
        <v>3.81</v>
      </c>
      <c r="M24" t="str">
        <v>4.03</v>
      </c>
      <c r="N24" t="str">
        <v>4.24</v>
      </c>
      <c r="O24" t="str">
        <v>4.79</v>
      </c>
      <c r="P24" t="str">
        <v>4.83</v>
      </c>
    </row>
    <row r="25" spans="2:16" x14ac:dyDescent="0.35">
      <c r="B25" t="str">
        <v>01/26/2026</v>
      </c>
      <c r="C25" t="str">
        <v>3.77</v>
      </c>
      <c r="D25" t="str">
        <v>3.71</v>
      </c>
      <c r="E25" t="str">
        <v>3.70</v>
      </c>
      <c r="F25" t="str">
        <v>3.67</v>
      </c>
      <c r="G25" t="str">
        <v>3.67</v>
      </c>
      <c r="H25" t="str">
        <v>3.62</v>
      </c>
      <c r="I25" t="str">
        <v>3.52</v>
      </c>
      <c r="J25" t="str">
        <v>3.56</v>
      </c>
      <c r="K25" t="str">
        <v>3.66</v>
      </c>
      <c r="L25" t="str">
        <v>3.82</v>
      </c>
      <c r="M25" t="str">
        <v>4.02</v>
      </c>
      <c r="N25" t="str">
        <v>4.22</v>
      </c>
      <c r="O25" t="str">
        <v>4.75</v>
      </c>
      <c r="P25" t="str">
        <v>4.80</v>
      </c>
    </row>
    <row r="26" spans="2:16" x14ac:dyDescent="0.35">
      <c r="B26" t="str">
        <v>01/23/2026</v>
      </c>
      <c r="C26" t="str">
        <v>3.78</v>
      </c>
      <c r="D26" t="str">
        <v>3.71</v>
      </c>
      <c r="E26" t="str">
        <v>3.72</v>
      </c>
      <c r="F26" t="str">
        <v>3.70</v>
      </c>
      <c r="G26" t="str">
        <v>3.67</v>
      </c>
      <c r="H26" t="str">
        <v>3.61</v>
      </c>
      <c r="I26" t="str">
        <v>3.53</v>
      </c>
      <c r="J26" t="str">
        <v>3.60</v>
      </c>
      <c r="K26" t="str">
        <v>3.67</v>
      </c>
      <c r="L26" t="str">
        <v>3.84</v>
      </c>
      <c r="M26" t="str">
        <v>4.03</v>
      </c>
      <c r="N26" t="str">
        <v>4.24</v>
      </c>
      <c r="O26" t="str">
        <v>4.78</v>
      </c>
      <c r="P26" t="str">
        <v>4.82</v>
      </c>
    </row>
    <row r="27" spans="2:16" x14ac:dyDescent="0.35">
      <c r="B27" t="str">
        <v>01/22/2026</v>
      </c>
      <c r="C27" t="str">
        <v>3.79</v>
      </c>
      <c r="D27" t="str">
        <v>3.71</v>
      </c>
      <c r="E27" t="str">
        <v>3.72</v>
      </c>
      <c r="F27" t="str">
        <v>3.71</v>
      </c>
      <c r="G27" t="str">
        <v>3.67</v>
      </c>
      <c r="H27" t="str">
        <v>3.61</v>
      </c>
      <c r="I27" t="str">
        <v>3.53</v>
      </c>
      <c r="J27" t="str">
        <v>3.61</v>
      </c>
      <c r="K27" t="str">
        <v>3.68</v>
      </c>
      <c r="L27" t="str">
        <v>3.85</v>
      </c>
      <c r="M27" t="str">
        <v>4.05</v>
      </c>
      <c r="N27" t="str">
        <v>4.26</v>
      </c>
      <c r="O27" t="str">
        <v>4.79</v>
      </c>
      <c r="P27" t="str">
        <v>4.84</v>
      </c>
    </row>
    <row r="28" spans="2:16" x14ac:dyDescent="0.35">
      <c r="B28" t="str">
        <v>01/21/2026</v>
      </c>
      <c r="C28" t="str">
        <v>3.75</v>
      </c>
      <c r="D28" t="str">
        <v>3.71</v>
      </c>
      <c r="E28" t="str">
        <v>3.70</v>
      </c>
      <c r="F28" t="str">
        <v>3.70</v>
      </c>
      <c r="G28" t="str">
        <v>3.67</v>
      </c>
      <c r="H28" t="str">
        <v>3.62</v>
      </c>
      <c r="I28" t="str">
        <v>3.53</v>
      </c>
      <c r="J28" t="str">
        <v>3.60</v>
      </c>
      <c r="K28" t="str">
        <v>3.66</v>
      </c>
      <c r="L28" t="str">
        <v>3.83</v>
      </c>
      <c r="M28" t="str">
        <v>4.04</v>
      </c>
      <c r="N28" t="str">
        <v>4.26</v>
      </c>
      <c r="O28" t="str">
        <v>4.82</v>
      </c>
      <c r="P28" t="str">
        <v>4.87</v>
      </c>
    </row>
    <row r="29" spans="2:16" x14ac:dyDescent="0.35">
      <c r="B29" t="str">
        <v>01/20/2026</v>
      </c>
      <c r="C29" t="str">
        <v>3.75</v>
      </c>
      <c r="D29" t="str">
        <v>3.71</v>
      </c>
      <c r="E29" t="str">
        <v>3.69</v>
      </c>
      <c r="F29" t="str">
        <v>3.70</v>
      </c>
      <c r="G29" t="str">
        <v>3.65</v>
      </c>
      <c r="H29" t="str">
        <v>3.61</v>
      </c>
      <c r="I29" t="str">
        <v>3.53</v>
      </c>
      <c r="J29" t="str">
        <v>3.60</v>
      </c>
      <c r="K29" t="str">
        <v>3.68</v>
      </c>
      <c r="L29" t="str">
        <v>3.86</v>
      </c>
      <c r="M29" t="str">
        <v>4.08</v>
      </c>
      <c r="N29" t="str">
        <v>4.30</v>
      </c>
      <c r="O29" t="str">
        <v>4.87</v>
      </c>
      <c r="P29" t="str">
        <v>4.91</v>
      </c>
    </row>
    <row r="30" spans="2:16" x14ac:dyDescent="0.35">
      <c r="B30" t="str">
        <v>01/16/2026</v>
      </c>
      <c r="C30" t="str">
        <v>3.75</v>
      </c>
      <c r="D30" t="str">
        <v>3.72</v>
      </c>
      <c r="E30" t="str">
        <v>3.68</v>
      </c>
      <c r="F30" t="str">
        <v>3.67</v>
      </c>
      <c r="G30" t="str">
        <v>3.66</v>
      </c>
      <c r="H30" t="str">
        <v>3.60</v>
      </c>
      <c r="I30" t="str">
        <v>3.55</v>
      </c>
      <c r="J30" t="str">
        <v>3.59</v>
      </c>
      <c r="K30" t="str">
        <v>3.67</v>
      </c>
      <c r="L30" t="str">
        <v>3.82</v>
      </c>
      <c r="M30" t="str">
        <v>4.02</v>
      </c>
      <c r="N30" t="str">
        <v>4.24</v>
      </c>
      <c r="O30" t="str">
        <v>4.79</v>
      </c>
      <c r="P30" t="str">
        <v>4.83</v>
      </c>
    </row>
    <row r="31" spans="2:16" x14ac:dyDescent="0.35">
      <c r="B31" t="str">
        <v>01/15/2026</v>
      </c>
      <c r="C31" t="str">
        <v>3.75</v>
      </c>
      <c r="D31" t="str">
        <v>3.73</v>
      </c>
      <c r="E31" t="str">
        <v>3.69</v>
      </c>
      <c r="F31" t="str">
        <v>3.68</v>
      </c>
      <c r="G31" t="str">
        <v>3.66</v>
      </c>
      <c r="H31" t="str">
        <v>3.60</v>
      </c>
      <c r="I31" t="str">
        <v>3.54</v>
      </c>
      <c r="J31" t="str">
        <v>3.56</v>
      </c>
      <c r="K31" t="str">
        <v>3.62</v>
      </c>
      <c r="L31" t="str">
        <v>3.77</v>
      </c>
      <c r="M31" t="str">
        <v>3.96</v>
      </c>
      <c r="N31" t="str">
        <v>4.17</v>
      </c>
      <c r="O31" t="str">
        <v>4.74</v>
      </c>
      <c r="P31" t="str">
        <v>4.79</v>
      </c>
    </row>
    <row r="32" spans="2:16" x14ac:dyDescent="0.35">
      <c r="B32" t="str">
        <v>01/14/2026</v>
      </c>
      <c r="C32" t="str">
        <v>3.72</v>
      </c>
      <c r="D32" t="str">
        <v>3.71</v>
      </c>
      <c r="E32" t="str">
        <v>3.66</v>
      </c>
      <c r="F32" t="str">
        <v>3.67</v>
      </c>
      <c r="G32" t="str">
        <v>3.65</v>
      </c>
      <c r="H32" t="str">
        <v>3.58</v>
      </c>
      <c r="I32" t="str">
        <v>3.50</v>
      </c>
      <c r="J32" t="str">
        <v>3.51</v>
      </c>
      <c r="K32" t="str">
        <v>3.56</v>
      </c>
      <c r="L32" t="str">
        <v>3.72</v>
      </c>
      <c r="M32" t="str">
        <v>3.92</v>
      </c>
      <c r="N32" t="str">
        <v>4.15</v>
      </c>
      <c r="O32" t="str">
        <v>4.73</v>
      </c>
      <c r="P32" t="str">
        <v>4.79</v>
      </c>
    </row>
    <row r="33" spans="2:16" x14ac:dyDescent="0.35">
      <c r="B33" t="str">
        <v>01/13/2026</v>
      </c>
      <c r="C33" t="str">
        <v>3.72</v>
      </c>
      <c r="D33" t="str">
        <v>3.72</v>
      </c>
      <c r="E33" t="str">
        <v>3.66</v>
      </c>
      <c r="F33" t="str">
        <v>3.67</v>
      </c>
      <c r="G33" t="str">
        <v>3.63</v>
      </c>
      <c r="H33" t="str">
        <v>3.59</v>
      </c>
      <c r="I33" t="str">
        <v>3.51</v>
      </c>
      <c r="J33" t="str">
        <v>3.53</v>
      </c>
      <c r="K33" t="str">
        <v>3.57</v>
      </c>
      <c r="L33" t="str">
        <v>3.75</v>
      </c>
      <c r="M33" t="str">
        <v>3.95</v>
      </c>
      <c r="N33" t="str">
        <v>4.18</v>
      </c>
      <c r="O33" t="str">
        <v>4.77</v>
      </c>
      <c r="P33" t="str">
        <v>4.83</v>
      </c>
    </row>
    <row r="34" spans="2:16" x14ac:dyDescent="0.35">
      <c r="B34" t="str">
        <v>01/12/2026</v>
      </c>
      <c r="C34" t="str">
        <v>3.71</v>
      </c>
      <c r="D34" t="str">
        <v>3.68</v>
      </c>
      <c r="E34" t="str">
        <v>3.64</v>
      </c>
      <c r="F34" t="str">
        <v>3.67</v>
      </c>
      <c r="G34" t="str">
        <v>3.63</v>
      </c>
      <c r="H34" t="str">
        <v>3.58</v>
      </c>
      <c r="I34" t="str">
        <v>3.53</v>
      </c>
      <c r="J34" t="str">
        <v>3.54</v>
      </c>
      <c r="K34" t="str">
        <v>3.59</v>
      </c>
      <c r="L34" t="str">
        <v>3.77</v>
      </c>
      <c r="M34" t="str">
        <v>3.97</v>
      </c>
      <c r="N34" t="str">
        <v>4.19</v>
      </c>
      <c r="O34" t="str">
        <v>4.78</v>
      </c>
      <c r="P34" t="str">
        <v>4.83</v>
      </c>
    </row>
    <row r="35" spans="2:16" x14ac:dyDescent="0.35">
      <c r="B35" t="str">
        <v>01/09/2026</v>
      </c>
      <c r="C35" t="str">
        <v>3.70</v>
      </c>
      <c r="D35" t="str">
        <v>3.68</v>
      </c>
      <c r="E35" t="str">
        <v>3.63</v>
      </c>
      <c r="F35" t="str">
        <v>3.62</v>
      </c>
      <c r="G35" t="str">
        <v>3.62</v>
      </c>
      <c r="H35" t="str">
        <v>3.57</v>
      </c>
      <c r="I35" t="str">
        <v>3.52</v>
      </c>
      <c r="J35" t="str">
        <v>3.54</v>
      </c>
      <c r="K35" t="str">
        <v>3.59</v>
      </c>
      <c r="L35" t="str">
        <v>3.75</v>
      </c>
      <c r="M35" t="str">
        <v>3.95</v>
      </c>
      <c r="N35" t="str">
        <v>4.18</v>
      </c>
      <c r="O35" t="str">
        <v>4.76</v>
      </c>
      <c r="P35" t="str">
        <v>4.82</v>
      </c>
    </row>
    <row r="36" spans="2:16" x14ac:dyDescent="0.35">
      <c r="B36" t="str">
        <v>01/08/2026</v>
      </c>
      <c r="C36" t="str">
        <v>3.70</v>
      </c>
      <c r="D36" t="str">
        <v>3.69</v>
      </c>
      <c r="E36" t="str">
        <v>3.63</v>
      </c>
      <c r="F36" t="str">
        <v>3.62</v>
      </c>
      <c r="G36" t="str">
        <v>3.60</v>
      </c>
      <c r="H36" t="str">
        <v>3.56</v>
      </c>
      <c r="I36" t="str">
        <v>3.48</v>
      </c>
      <c r="J36" t="str">
        <v>3.49</v>
      </c>
      <c r="K36" t="str">
        <v>3.56</v>
      </c>
      <c r="L36" t="str">
        <v>3.74</v>
      </c>
      <c r="M36" t="str">
        <v>3.95</v>
      </c>
      <c r="N36" t="str">
        <v>4.19</v>
      </c>
      <c r="O36" t="str">
        <v>4.79</v>
      </c>
      <c r="P36" t="str">
        <v>4.85</v>
      </c>
    </row>
    <row r="37" spans="2:16" x14ac:dyDescent="0.35">
      <c r="B37" t="str">
        <v>01/07/2026</v>
      </c>
      <c r="C37" t="str">
        <v>3.70</v>
      </c>
      <c r="D37" t="str">
        <v>3.69</v>
      </c>
      <c r="E37" t="str">
        <v>3.60</v>
      </c>
      <c r="F37" t="str">
        <v>3.62</v>
      </c>
      <c r="G37" t="str">
        <v>3.60</v>
      </c>
      <c r="H37" t="str">
        <v>3.56</v>
      </c>
      <c r="I37" t="str">
        <v>3.48</v>
      </c>
      <c r="J37" t="str">
        <v>3.47</v>
      </c>
      <c r="K37" t="str">
        <v>3.53</v>
      </c>
      <c r="L37" t="str">
        <v>3.70</v>
      </c>
      <c r="M37" t="str">
        <v>3.91</v>
      </c>
      <c r="N37" t="str">
        <v>4.15</v>
      </c>
      <c r="O37" t="str">
        <v>4.76</v>
      </c>
      <c r="P37" t="str">
        <v>4.82</v>
      </c>
    </row>
    <row r="38" spans="2:16" x14ac:dyDescent="0.35">
      <c r="B38" t="str">
        <v>01/06/2026</v>
      </c>
      <c r="C38" t="str">
        <v>3.70</v>
      </c>
      <c r="D38" t="str">
        <v>3.70</v>
      </c>
      <c r="E38" t="str">
        <v>3.61</v>
      </c>
      <c r="F38" t="str">
        <v>3.63</v>
      </c>
      <c r="G38" t="str">
        <v>3.58</v>
      </c>
      <c r="H38" t="str">
        <v>3.56</v>
      </c>
      <c r="I38" t="str">
        <v>3.48</v>
      </c>
      <c r="J38" t="str">
        <v>3.47</v>
      </c>
      <c r="K38" t="str">
        <v>3.54</v>
      </c>
      <c r="L38" t="str">
        <v>3.72</v>
      </c>
      <c r="M38" t="str">
        <v>3.93</v>
      </c>
      <c r="N38" t="str">
        <v>4.18</v>
      </c>
      <c r="O38" t="str">
        <v>4.80</v>
      </c>
      <c r="P38" t="str">
        <v>4.86</v>
      </c>
    </row>
    <row r="39" spans="2:16" x14ac:dyDescent="0.35">
      <c r="B39" t="str">
        <v>01/05/2026</v>
      </c>
      <c r="C39" t="str">
        <v>3.71</v>
      </c>
      <c r="D39" t="str">
        <v>3.68</v>
      </c>
      <c r="E39" t="str">
        <v>3.64</v>
      </c>
      <c r="F39" t="str">
        <v>3.64</v>
      </c>
      <c r="G39" t="str">
        <v>3.61</v>
      </c>
      <c r="H39" t="str">
        <v>3.57</v>
      </c>
      <c r="I39" t="str">
        <v>3.47</v>
      </c>
      <c r="J39" t="str">
        <v>3.46</v>
      </c>
      <c r="K39" t="str">
        <v>3.53</v>
      </c>
      <c r="L39" t="str">
        <v>3.71</v>
      </c>
      <c r="M39" t="str">
        <v>3.92</v>
      </c>
      <c r="N39" t="str">
        <v>4.17</v>
      </c>
      <c r="O39" t="str">
        <v>4.79</v>
      </c>
      <c r="P39" t="str">
        <v>4.85</v>
      </c>
    </row>
    <row r="40" spans="2:16" x14ac:dyDescent="0.35">
      <c r="B40" t="str">
        <v>01/02/2026</v>
      </c>
      <c r="C40" t="str">
        <v>3.72</v>
      </c>
      <c r="D40" t="str">
        <v>3.71</v>
      </c>
      <c r="E40" t="str">
        <v>3.66</v>
      </c>
      <c r="F40" t="str">
        <v>3.65</v>
      </c>
      <c r="G40" t="str">
        <v>3.62</v>
      </c>
      <c r="H40" t="str">
        <v>3.58</v>
      </c>
      <c r="I40" t="str">
        <v>3.47</v>
      </c>
      <c r="J40" t="str">
        <v>3.47</v>
      </c>
      <c r="K40" t="str">
        <v>3.55</v>
      </c>
      <c r="L40" t="str">
        <v>3.74</v>
      </c>
      <c r="M40" t="str">
        <v>3.95</v>
      </c>
      <c r="N40" t="str">
        <v>4.19</v>
      </c>
      <c r="O40" t="str">
        <v>4.81</v>
      </c>
      <c r="P40" t="str">
        <v>4.86</v>
      </c>
    </row>
  </sheetData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A2:E15"/>
  <sheetViews>
    <sheetView workbookViewId="0">
      <selection activeCell="B5" sqref="B5"/>
    </sheetView>
  </sheetViews>
  <sheetFormatPr defaultRowHeight="18" x14ac:dyDescent="0.35"/>
  <cols>
    <col min="2" max="2" width="11.9140625" bestFit="1" customWidth="1"/>
  </cols>
  <sheetData>
    <row r="2" spans="1:5" x14ac:dyDescent="0.35">
      <c r="B2" s="3" t="s">
        <v>1</v>
      </c>
    </row>
    <row r="3" spans="1:5" x14ac:dyDescent="0.35">
      <c r="A3" t="s">
        <v>28</v>
      </c>
      <c r="B3">
        <v>1</v>
      </c>
      <c r="C3">
        <v>2</v>
      </c>
      <c r="D3">
        <v>3</v>
      </c>
      <c r="E3">
        <v>4</v>
      </c>
    </row>
    <row r="4" spans="1:5" x14ac:dyDescent="0.35">
      <c r="B4" s="2">
        <v>0.05</v>
      </c>
      <c r="C4" s="2">
        <v>0.05</v>
      </c>
      <c r="D4" s="2">
        <v>0.05</v>
      </c>
      <c r="E4" s="2">
        <v>1.05</v>
      </c>
    </row>
    <row r="5" spans="1:5" x14ac:dyDescent="0.35">
      <c r="B5" s="8" cm="1">
        <f t="array" ref="B5">_xll.\FI.INSTRUMENT(B3:E3,B4:E4)</f>
        <v>2554472721104</v>
      </c>
    </row>
    <row r="6" spans="1:5" x14ac:dyDescent="0.35">
      <c r="B6" cm="1">
        <f t="array" ref="B6:E7">_xll.FI.INSTRUMENT(B5)</f>
        <v>1</v>
      </c>
      <c r="C6">
        <v>2</v>
      </c>
      <c r="D6">
        <v>3</v>
      </c>
      <c r="E6">
        <v>4</v>
      </c>
    </row>
    <row r="7" spans="1:5" x14ac:dyDescent="0.35">
      <c r="B7">
        <v>0.05</v>
      </c>
      <c r="C7">
        <v>0.05</v>
      </c>
      <c r="D7">
        <v>0.05</v>
      </c>
      <c r="E7">
        <v>1.05</v>
      </c>
    </row>
    <row r="8" spans="1:5" x14ac:dyDescent="0.35">
      <c r="A8" t="s">
        <v>29</v>
      </c>
      <c r="B8">
        <v>1</v>
      </c>
    </row>
    <row r="9" spans="1:5" x14ac:dyDescent="0.35">
      <c r="B9">
        <v>0.5</v>
      </c>
    </row>
    <row r="10" spans="1:5" x14ac:dyDescent="0.35">
      <c r="B10" s="8" cm="1">
        <f t="array" ref="B10">_xll.\FI.INSTRUMENT.ZERO_COUPON_BOND(B8,B9)</f>
        <v>2554644920144</v>
      </c>
    </row>
    <row r="11" spans="1:5" x14ac:dyDescent="0.35">
      <c r="B11" cm="1">
        <f t="array" ref="B11:B12">_xll.FI.INSTRUMENT(B10)</f>
        <v>1</v>
      </c>
    </row>
    <row r="12" spans="1:5" x14ac:dyDescent="0.35">
      <c r="B12">
        <v>0.5</v>
      </c>
    </row>
    <row r="13" spans="1:5" x14ac:dyDescent="0.35">
      <c r="A13" t="s">
        <v>30</v>
      </c>
      <c r="B13" s="8" cm="1">
        <f t="array" ref="B13">_xll.\FI.INSTRUMENT.BOND(2,0.05,2)</f>
        <v>2554640890144</v>
      </c>
    </row>
    <row r="14" spans="1:5" x14ac:dyDescent="0.35">
      <c r="B14" cm="1">
        <f t="array" ref="B14:E15">_xll.FI.INSTRUMENT(B13)</f>
        <v>0.5</v>
      </c>
      <c r="C14">
        <v>1</v>
      </c>
      <c r="D14">
        <v>1.5</v>
      </c>
      <c r="E14">
        <v>2</v>
      </c>
    </row>
    <row r="15" spans="1:5" x14ac:dyDescent="0.35">
      <c r="B15">
        <v>2.5000000000000001E-2</v>
      </c>
      <c r="C15">
        <v>2.5000000000000001E-2</v>
      </c>
      <c r="D15">
        <v>2.5000000000000001E-2</v>
      </c>
      <c r="E15">
        <v>1.0249999999999999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:E7"/>
  <sheetViews>
    <sheetView workbookViewId="0">
      <selection activeCell="B6" sqref="B6"/>
    </sheetView>
  </sheetViews>
  <sheetFormatPr defaultRowHeight="18" x14ac:dyDescent="0.35"/>
  <cols>
    <col min="2" max="2" width="11.9140625" bestFit="1" customWidth="1"/>
  </cols>
  <sheetData>
    <row r="2" spans="2:5" x14ac:dyDescent="0.35">
      <c r="B2" t="s">
        <v>2</v>
      </c>
    </row>
    <row r="3" spans="2:5" x14ac:dyDescent="0.35">
      <c r="B3">
        <v>1</v>
      </c>
      <c r="C3">
        <v>2</v>
      </c>
      <c r="D3">
        <v>3</v>
      </c>
      <c r="E3">
        <v>4</v>
      </c>
    </row>
    <row r="4" spans="2:5" x14ac:dyDescent="0.35">
      <c r="B4">
        <v>0.05</v>
      </c>
      <c r="C4">
        <v>0.05</v>
      </c>
      <c r="D4">
        <v>0.05</v>
      </c>
      <c r="E4">
        <v>0.05</v>
      </c>
    </row>
    <row r="5" spans="2:5" x14ac:dyDescent="0.35">
      <c r="B5" s="8" cm="1">
        <f t="array" ref="B5">_xll.\FI.CURVE.PWFLAT(B3:E3,B4:E4)</f>
        <v>2556906811216</v>
      </c>
    </row>
    <row r="6" spans="2:5" x14ac:dyDescent="0.35">
      <c r="B6" cm="1">
        <f t="array" ref="B6:E7">_xll.FI.CURVE.PWFLAT(B5)</f>
        <v>1</v>
      </c>
      <c r="C6">
        <v>2</v>
      </c>
      <c r="D6">
        <v>3</v>
      </c>
      <c r="E6">
        <v>4</v>
      </c>
    </row>
    <row r="7" spans="2:5" x14ac:dyDescent="0.35">
      <c r="B7">
        <v>0.05</v>
      </c>
      <c r="C7">
        <v>0.05</v>
      </c>
      <c r="D7">
        <v>0.05</v>
      </c>
      <c r="E7">
        <v>0.05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AC75"/>
  <sheetViews>
    <sheetView tabSelected="1" zoomScale="70" workbookViewId="0">
      <selection activeCell="H15" sqref="H15"/>
    </sheetView>
  </sheetViews>
  <sheetFormatPr defaultRowHeight="18" x14ac:dyDescent="0.35"/>
  <cols>
    <col min="3" max="5" width="8.75" bestFit="1" customWidth="1"/>
    <col min="6" max="6" width="12" bestFit="1" customWidth="1"/>
    <col min="7" max="8" width="11.9140625" customWidth="1"/>
    <col min="9" max="9" width="12.08203125" bestFit="1" customWidth="1"/>
    <col min="10" max="11" width="11.83203125" bestFit="1" customWidth="1"/>
    <col min="12" max="12" width="12.08203125" bestFit="1" customWidth="1"/>
    <col min="13" max="13" width="11.83203125" bestFit="1" customWidth="1"/>
    <col min="14" max="14" width="10.83203125" bestFit="1" customWidth="1"/>
    <col min="15" max="15" width="14.58203125" customWidth="1"/>
    <col min="16" max="20" width="10.75" bestFit="1" customWidth="1"/>
  </cols>
  <sheetData>
    <row r="2" spans="2:29" x14ac:dyDescent="0.35">
      <c r="C2" s="7" t="s">
        <v>16</v>
      </c>
      <c r="D2" s="7" t="s">
        <v>17</v>
      </c>
      <c r="E2" s="7" t="s">
        <v>18</v>
      </c>
      <c r="F2" t="s">
        <v>19</v>
      </c>
      <c r="I2" s="2" t="s">
        <v>21</v>
      </c>
      <c r="J2" s="6" t="s">
        <v>22</v>
      </c>
      <c r="L2" s="8" cm="1">
        <f t="array" ref="L2">_xll.\FI.CURVE.PWFLAT.BOOTSTRAP(_xlfn.ANCHORARRAY(G3),_xlfn.ANCHORARRAY( G4))</f>
        <v>2556918852832</v>
      </c>
    </row>
    <row r="3" spans="2:29" x14ac:dyDescent="0.35">
      <c r="B3" s="2" t="s">
        <v>3</v>
      </c>
      <c r="C3" s="4">
        <f>1/12</f>
        <v>8.3333333333333329E-2</v>
      </c>
      <c r="D3">
        <v>3.7100000000000001E-2</v>
      </c>
      <c r="E3">
        <f>1-D3*C3</f>
        <v>0.99690833333333329</v>
      </c>
      <c r="F3" s="8" cm="1">
        <f t="array" ref="F3">_xll.\FI.INSTRUMENT.ZERO_COUPON_BOND(C3)</f>
        <v>2556918849232</v>
      </c>
      <c r="G3" s="9" cm="1">
        <f t="array" ref="G3:T3">TRANSPOSE(F3:F16)</f>
        <v>2556918849232</v>
      </c>
      <c r="H3" s="9">
        <v>2556919448992</v>
      </c>
      <c r="I3" s="9">
        <v>2556919450432</v>
      </c>
      <c r="J3" s="10">
        <v>2556919452016</v>
      </c>
      <c r="K3" s="10">
        <v>2556919446976</v>
      </c>
      <c r="L3" s="10">
        <v>2556919451440</v>
      </c>
      <c r="M3" s="10">
        <v>2556919455184</v>
      </c>
      <c r="N3" s="10">
        <v>2554400230928</v>
      </c>
      <c r="O3" s="10">
        <v>2554400228848</v>
      </c>
      <c r="P3" s="10">
        <v>2554400229968</v>
      </c>
      <c r="Q3" s="10">
        <v>2554400229168</v>
      </c>
      <c r="R3" s="10">
        <v>2554400228048</v>
      </c>
      <c r="S3" s="10">
        <v>2554400228688</v>
      </c>
      <c r="T3" s="10">
        <v>2554400227248</v>
      </c>
    </row>
    <row r="4" spans="2:29" x14ac:dyDescent="0.35">
      <c r="B4" s="2" t="s">
        <v>20</v>
      </c>
      <c r="C4">
        <f>1.5/12</f>
        <v>0.125</v>
      </c>
      <c r="D4">
        <v>3.7400000000000003E-2</v>
      </c>
      <c r="E4">
        <f t="shared" ref="E4:E9" si="0">1-D4*C4</f>
        <v>0.99532500000000002</v>
      </c>
      <c r="F4" s="8" cm="1">
        <f t="array" ref="F4">_xll.\FI.INSTRUMENT.ZERO_COUPON_BOND(C4)</f>
        <v>2556919448992</v>
      </c>
      <c r="G4" s="9" cm="1">
        <f t="array" ref="G4:T4">TRANSPOSE(E3:E16)</f>
        <v>0.99690833333333329</v>
      </c>
      <c r="H4" s="9">
        <v>0.99532500000000002</v>
      </c>
      <c r="I4" s="10">
        <v>0.99378333333333335</v>
      </c>
      <c r="J4" s="10">
        <v>0.99075000000000002</v>
      </c>
      <c r="K4" s="10">
        <v>0.98766666666666669</v>
      </c>
      <c r="L4" s="10">
        <v>0.98199999999999998</v>
      </c>
      <c r="M4" s="10">
        <v>0.96509999999999996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0">
        <v>1</v>
      </c>
    </row>
    <row r="5" spans="2:29" x14ac:dyDescent="0.35">
      <c r="B5" s="2" t="s">
        <v>4</v>
      </c>
      <c r="C5" s="4">
        <f>2/12</f>
        <v>0.16666666666666666</v>
      </c>
      <c r="D5">
        <v>3.73E-2</v>
      </c>
      <c r="E5">
        <f t="shared" si="0"/>
        <v>0.99378333333333335</v>
      </c>
      <c r="F5" s="8" cm="1">
        <f t="array" ref="F5">_xll.\FI.INSTRUMENT.ZERO_COUPON_BOND(C5)</f>
        <v>2556919450432</v>
      </c>
      <c r="G5" s="8"/>
      <c r="H5" s="8"/>
      <c r="K5" t="s">
        <v>27</v>
      </c>
      <c r="O5" t="s">
        <v>31</v>
      </c>
      <c r="P5" cm="1">
        <f t="array" ref="P5:AC6">_xll.FI.CURVE.PWFLAT(L2)</f>
        <v>8.3333333333333329E-2</v>
      </c>
      <c r="Q5">
        <v>0.125</v>
      </c>
      <c r="R5">
        <v>0.16666666666666666</v>
      </c>
      <c r="S5">
        <v>0.25</v>
      </c>
      <c r="T5">
        <v>0.33333333333333331</v>
      </c>
      <c r="U5">
        <v>0.5</v>
      </c>
      <c r="V5">
        <v>1</v>
      </c>
      <c r="W5">
        <v>2</v>
      </c>
      <c r="X5">
        <v>3</v>
      </c>
      <c r="Y5">
        <v>5</v>
      </c>
      <c r="Z5">
        <v>7</v>
      </c>
      <c r="AA5">
        <v>10</v>
      </c>
      <c r="AB5">
        <v>20</v>
      </c>
      <c r="AC5">
        <v>30</v>
      </c>
    </row>
    <row r="6" spans="2:29" x14ac:dyDescent="0.35">
      <c r="B6" s="2" t="s">
        <v>5</v>
      </c>
      <c r="C6">
        <f>3/12</f>
        <v>0.25</v>
      </c>
      <c r="D6">
        <v>3.7000000000000005E-2</v>
      </c>
      <c r="E6">
        <f t="shared" si="0"/>
        <v>0.99075000000000002</v>
      </c>
      <c r="F6" s="8" cm="1">
        <f t="array" ref="F6">_xll.\FI.INSTRUMENT.ZERO_COUPON_BOND(C6)</f>
        <v>2556919452016</v>
      </c>
      <c r="G6" s="8"/>
      <c r="H6" s="8"/>
      <c r="K6" s="7" t="s">
        <v>23</v>
      </c>
      <c r="L6" s="7" t="s">
        <v>24</v>
      </c>
      <c r="M6" s="7" t="s">
        <v>25</v>
      </c>
      <c r="P6">
        <v>3.715831656820115E-2</v>
      </c>
      <c r="Q6">
        <v>3.814664017116199E-2</v>
      </c>
      <c r="R6">
        <v>3.7202205769418122E-2</v>
      </c>
      <c r="S6">
        <v>3.6683596176462913E-2</v>
      </c>
      <c r="T6">
        <v>3.7404183748547974E-2</v>
      </c>
      <c r="U6">
        <v>3.4520470666365488E-2</v>
      </c>
      <c r="V6">
        <v>3.4720691752069432E-2</v>
      </c>
      <c r="W6">
        <v>3.2650364029551147E-2</v>
      </c>
      <c r="X6">
        <v>3.5011501821605513E-2</v>
      </c>
      <c r="Y6">
        <v>3.8481716185164432E-2</v>
      </c>
      <c r="Z6">
        <v>4.3399267121304493E-2</v>
      </c>
      <c r="AA6">
        <v>4.6467732453357329E-2</v>
      </c>
      <c r="AB6">
        <v>5.4141810905383524E-2</v>
      </c>
      <c r="AC6">
        <v>4.8539321852524846E-2</v>
      </c>
    </row>
    <row r="7" spans="2:29" x14ac:dyDescent="0.35">
      <c r="B7" s="2" t="s">
        <v>6</v>
      </c>
      <c r="C7" s="5">
        <f>4/12</f>
        <v>0.33333333333333331</v>
      </c>
      <c r="D7">
        <v>3.7000000000000005E-2</v>
      </c>
      <c r="E7">
        <f t="shared" si="0"/>
        <v>0.98766666666666669</v>
      </c>
      <c r="F7" s="8" cm="1">
        <f t="array" ref="F7">_xll.\FI.INSTRUMENT.ZERO_COUPON_BOND(C7)</f>
        <v>2556919446976</v>
      </c>
      <c r="G7" s="8"/>
      <c r="H7" s="8"/>
      <c r="J7">
        <v>0.1</v>
      </c>
      <c r="K7" cm="1">
        <f t="array" ref="K7:K75">_xlfn.VSTACK(_xlfn.SEQUENCE(1/J7,1,0,J7),_xlfn.SEQUENCE(1+29/J8,1,1,J8))</f>
        <v>0</v>
      </c>
      <c r="L7" cm="1">
        <f t="array" ref="L7">_xll.FI.CURVE.SPOT($L$2,K7)</f>
        <v>3.715831656820115E-2</v>
      </c>
      <c r="M7" cm="1">
        <f t="array" ref="M7">_xll.FI.CURVE.FORWARD($L$2,K7)</f>
        <v>3.715831656820115E-2</v>
      </c>
    </row>
    <row r="8" spans="2:29" x14ac:dyDescent="0.35">
      <c r="B8" s="2" t="s">
        <v>7</v>
      </c>
      <c r="C8">
        <f>6/12</f>
        <v>0.5</v>
      </c>
      <c r="D8">
        <v>3.6000000000000004E-2</v>
      </c>
      <c r="E8">
        <f t="shared" si="0"/>
        <v>0.98199999999999998</v>
      </c>
      <c r="F8" s="8" cm="1">
        <f t="array" ref="F8">_xll.\FI.INSTRUMENT.ZERO_COUPON_BOND(C8)</f>
        <v>2556919451440</v>
      </c>
      <c r="G8" s="8"/>
      <c r="H8" s="8"/>
      <c r="J8">
        <v>0.5</v>
      </c>
      <c r="K8">
        <v>0.1</v>
      </c>
      <c r="L8" cm="1">
        <f t="array" ref="L8">_xll.FI.CURVE.SPOT($L$2,K8)</f>
        <v>3.7323037168694624E-2</v>
      </c>
      <c r="M8" cm="1">
        <f t="array" ref="M8">_xll.FI.CURVE.FORWARD($L$2,K8)</f>
        <v>3.814664017116199E-2</v>
      </c>
    </row>
    <row r="9" spans="2:29" x14ac:dyDescent="0.35">
      <c r="B9" s="2" t="s">
        <v>8</v>
      </c>
      <c r="C9">
        <v>1</v>
      </c>
      <c r="D9">
        <v>3.49E-2</v>
      </c>
      <c r="E9">
        <f t="shared" si="0"/>
        <v>0.96509999999999996</v>
      </c>
      <c r="F9" s="8" cm="1">
        <f t="array" ref="F9">_xll.\FI.INSTRUMENT.ZERO_COUPON_BOND(C9)</f>
        <v>2556919455184</v>
      </c>
      <c r="G9" s="8"/>
      <c r="H9" s="8"/>
      <c r="K9">
        <v>0.2</v>
      </c>
      <c r="L9" cm="1">
        <f t="array" ref="L9">_xll.FI.CURVE.SPOT($L$2,K9)</f>
        <v>3.7294240837115154E-2</v>
      </c>
      <c r="M9" cm="1">
        <f t="array" ref="M9">_xll.FI.CURVE.FORWARD($L$2,K9)</f>
        <v>3.6683596176462913E-2</v>
      </c>
    </row>
    <row r="10" spans="2:29" x14ac:dyDescent="0.35">
      <c r="B10" s="2" t="s">
        <v>9</v>
      </c>
      <c r="C10">
        <v>2</v>
      </c>
      <c r="D10">
        <v>3.4700000000000002E-2</v>
      </c>
      <c r="E10">
        <v>1</v>
      </c>
      <c r="F10" s="8" cm="1">
        <f t="array" ref="F10">_xll.\FI.INSTRUMENT.BOND(C10,D10,1)</f>
        <v>2554400230928</v>
      </c>
      <c r="G10" s="8"/>
      <c r="H10" s="8"/>
      <c r="K10">
        <v>0.30000000000000004</v>
      </c>
      <c r="L10" cm="1">
        <f t="array" ref="L10">_xll.FI.CURVE.SPOT($L$2,K10)</f>
        <v>3.721079054557859E-2</v>
      </c>
      <c r="M10" cm="1">
        <f t="array" ref="M10">_xll.FI.CURVE.FORWARD($L$2,K10)</f>
        <v>3.7404183748547974E-2</v>
      </c>
      <c r="N10" s="6" t="s">
        <v>26</v>
      </c>
    </row>
    <row r="11" spans="2:29" x14ac:dyDescent="0.35">
      <c r="B11" s="2" t="s">
        <v>10</v>
      </c>
      <c r="C11">
        <v>3</v>
      </c>
      <c r="D11">
        <v>3.5000000000000003E-2</v>
      </c>
      <c r="E11">
        <v>1</v>
      </c>
      <c r="F11" s="8" cm="1">
        <f t="array" ref="F11">_xll.\FI.INSTRUMENT.BOND(C11,D11,1)</f>
        <v>2554400228848</v>
      </c>
      <c r="G11" s="8"/>
      <c r="H11" s="8"/>
      <c r="K11">
        <v>0.4</v>
      </c>
      <c r="L11" cm="1">
        <f t="array" ref="L11">_xll.FI.CURVE.SPOT($L$2,K11)</f>
        <v>3.6778519999290514E-2</v>
      </c>
      <c r="M11" cm="1">
        <f t="array" ref="M11">_xll.FI.CURVE.FORWARD($L$2,K11)</f>
        <v>3.4520470666365488E-2</v>
      </c>
    </row>
    <row r="12" spans="2:29" x14ac:dyDescent="0.35">
      <c r="B12" s="2" t="s">
        <v>11</v>
      </c>
      <c r="C12">
        <v>5</v>
      </c>
      <c r="D12">
        <v>3.6600000000000001E-2</v>
      </c>
      <c r="E12">
        <v>1</v>
      </c>
      <c r="F12" s="8" cm="1">
        <f t="array" ref="F12">_xll.\FI.INSTRUMENT.BOND(C12,D12,1)</f>
        <v>2554400229968</v>
      </c>
      <c r="G12" s="8"/>
      <c r="H12" s="8"/>
      <c r="K12">
        <v>0.5</v>
      </c>
      <c r="L12" cm="1">
        <f t="array" ref="L12">_xll.FI.CURVE.SPOT($L$2,K12)</f>
        <v>3.632691013270551E-2</v>
      </c>
      <c r="M12" cm="1">
        <f t="array" ref="M12">_xll.FI.CURVE.FORWARD($L$2,K12)</f>
        <v>3.4520470666365488E-2</v>
      </c>
    </row>
    <row r="13" spans="2:29" x14ac:dyDescent="0.35">
      <c r="B13" s="2" t="s">
        <v>12</v>
      </c>
      <c r="C13">
        <v>7</v>
      </c>
      <c r="D13">
        <v>3.8599999999999995E-2</v>
      </c>
      <c r="E13">
        <v>1</v>
      </c>
      <c r="F13" s="8" cm="1">
        <f t="array" ref="F13">_xll.\FI.INSTRUMENT.BOND(C13,D13,1)</f>
        <v>2554400229168</v>
      </c>
      <c r="G13" s="8"/>
      <c r="H13" s="8"/>
      <c r="K13">
        <v>0.6</v>
      </c>
      <c r="L13" cm="1">
        <f t="array" ref="L13">_xll.FI.CURVE.SPOT($L$2,K13)</f>
        <v>3.6059207069266165E-2</v>
      </c>
      <c r="M13" cm="1">
        <f t="array" ref="M13">_xll.FI.CURVE.FORWARD($L$2,K13)</f>
        <v>3.4720691752069432E-2</v>
      </c>
    </row>
    <row r="14" spans="2:29" x14ac:dyDescent="0.35">
      <c r="B14" s="2" t="s">
        <v>13</v>
      </c>
      <c r="C14">
        <v>10</v>
      </c>
      <c r="D14">
        <v>4.0899999999999999E-2</v>
      </c>
      <c r="E14">
        <v>1</v>
      </c>
      <c r="F14" s="8" cm="1">
        <f t="array" ref="F14">_xll.\FI.INSTRUMENT.BOND(C14,D14,1)</f>
        <v>2554400228048</v>
      </c>
      <c r="G14" s="8"/>
      <c r="H14" s="8"/>
      <c r="K14">
        <v>0.7</v>
      </c>
      <c r="L14" cm="1">
        <f t="array" ref="L14">_xll.FI.CURVE.SPOT($L$2,K14)</f>
        <v>3.5867990595380914E-2</v>
      </c>
      <c r="M14" cm="1">
        <f t="array" ref="M14">_xll.FI.CURVE.FORWARD($L$2,K14)</f>
        <v>3.4720691752069432E-2</v>
      </c>
    </row>
    <row r="15" spans="2:29" x14ac:dyDescent="0.35">
      <c r="B15" s="2" t="s">
        <v>14</v>
      </c>
      <c r="C15">
        <v>20</v>
      </c>
      <c r="D15">
        <v>4.6500000000000007E-2</v>
      </c>
      <c r="E15">
        <v>1</v>
      </c>
      <c r="F15" s="8" cm="1">
        <f t="array" ref="F15">_xll.\FI.INSTRUMENT.BOND(C15,D15,1)</f>
        <v>2554400228688</v>
      </c>
      <c r="G15" s="8"/>
      <c r="H15" s="8"/>
      <c r="K15">
        <v>0.79999999999999993</v>
      </c>
      <c r="L15" cm="1">
        <f t="array" ref="L15">_xll.FI.CURVE.SPOT($L$2,K15)</f>
        <v>3.5724578239966977E-2</v>
      </c>
      <c r="M15" cm="1">
        <f t="array" ref="M15">_xll.FI.CURVE.FORWARD($L$2,K15)</f>
        <v>3.4720691752069432E-2</v>
      </c>
    </row>
    <row r="16" spans="2:29" x14ac:dyDescent="0.35">
      <c r="B16" s="2" t="s">
        <v>15</v>
      </c>
      <c r="C16">
        <v>30</v>
      </c>
      <c r="D16">
        <v>4.7100000000000003E-2</v>
      </c>
      <c r="E16">
        <v>1</v>
      </c>
      <c r="F16" s="8" cm="1">
        <f t="array" ref="F16">_xll.\FI.INSTRUMENT.BOND(C16,D16,1)</f>
        <v>2554400227248</v>
      </c>
      <c r="G16" s="8"/>
      <c r="H16" s="8"/>
      <c r="K16">
        <v>0.89999999999999991</v>
      </c>
      <c r="L16" cm="1">
        <f t="array" ref="L16">_xll.FI.CURVE.SPOT($L$2,K16)</f>
        <v>3.5613035296867254E-2</v>
      </c>
      <c r="M16" cm="1">
        <f t="array" ref="M16">_xll.FI.CURVE.FORWARD($L$2,K16)</f>
        <v>3.4720691752069432E-2</v>
      </c>
    </row>
    <row r="17" spans="11:13" x14ac:dyDescent="0.35">
      <c r="K17">
        <v>1</v>
      </c>
      <c r="L17" cm="1">
        <f t="array" ref="L17">_xll.FI.CURVE.SPOT($L$2,K17)</f>
        <v>3.5523800942387468E-2</v>
      </c>
      <c r="M17" cm="1">
        <f t="array" ref="M17">_xll.FI.CURVE.FORWARD($L$2,K17)</f>
        <v>3.4720691752069432E-2</v>
      </c>
    </row>
    <row r="18" spans="11:13" x14ac:dyDescent="0.35">
      <c r="K18">
        <v>1.5</v>
      </c>
      <c r="L18" cm="1">
        <f t="array" ref="L18">_xll.FI.CURVE.SPOT($L$2,K18)</f>
        <v>3.4565988638108697E-2</v>
      </c>
      <c r="M18" cm="1">
        <f t="array" ref="M18">_xll.FI.CURVE.FORWARD($L$2,K18)</f>
        <v>3.2650364029551147E-2</v>
      </c>
    </row>
    <row r="19" spans="11:13" x14ac:dyDescent="0.35">
      <c r="K19">
        <v>2</v>
      </c>
      <c r="L19" cm="1">
        <f t="array" ref="L19">_xll.FI.CURVE.SPOT($L$2,K19)</f>
        <v>3.4087082485969311E-2</v>
      </c>
      <c r="M19" cm="1">
        <f t="array" ref="M19">_xll.FI.CURVE.FORWARD($L$2,K19)</f>
        <v>3.2650364029551147E-2</v>
      </c>
    </row>
    <row r="20" spans="11:13" x14ac:dyDescent="0.35">
      <c r="K20">
        <v>2.5</v>
      </c>
      <c r="L20" cm="1">
        <f t="array" ref="L20">_xll.FI.CURVE.SPOT($L$2,K20)</f>
        <v>3.4271966353096553E-2</v>
      </c>
      <c r="M20" cm="1">
        <f t="array" ref="M20">_xll.FI.CURVE.FORWARD($L$2,K20)</f>
        <v>3.5011501821605513E-2</v>
      </c>
    </row>
    <row r="21" spans="11:13" x14ac:dyDescent="0.35">
      <c r="K21">
        <v>3</v>
      </c>
      <c r="L21" cm="1">
        <f t="array" ref="L21">_xll.FI.CURVE.SPOT($L$2,K21)</f>
        <v>3.4395222264514712E-2</v>
      </c>
      <c r="M21" cm="1">
        <f t="array" ref="M21">_xll.FI.CURVE.FORWARD($L$2,K21)</f>
        <v>3.5011501821605513E-2</v>
      </c>
    </row>
    <row r="22" spans="11:13" x14ac:dyDescent="0.35">
      <c r="K22">
        <v>3.5</v>
      </c>
      <c r="L22" cm="1">
        <f t="array" ref="L22">_xll.FI.CURVE.SPOT($L$2,K22)</f>
        <v>3.4979007110321814E-2</v>
      </c>
      <c r="M22" cm="1">
        <f t="array" ref="M22">_xll.FI.CURVE.FORWARD($L$2,K22)</f>
        <v>3.8481716185164432E-2</v>
      </c>
    </row>
    <row r="23" spans="11:13" x14ac:dyDescent="0.35">
      <c r="K23">
        <v>4</v>
      </c>
      <c r="L23" cm="1">
        <f t="array" ref="L23">_xll.FI.CURVE.SPOT($L$2,K23)</f>
        <v>3.5416845744677142E-2</v>
      </c>
      <c r="M23" cm="1">
        <f t="array" ref="M23">_xll.FI.CURVE.FORWARD($L$2,K23)</f>
        <v>3.8481716185164432E-2</v>
      </c>
    </row>
    <row r="24" spans="11:13" x14ac:dyDescent="0.35">
      <c r="K24">
        <v>4.5</v>
      </c>
      <c r="L24" cm="1">
        <f t="array" ref="L24">_xll.FI.CURVE.SPOT($L$2,K24)</f>
        <v>3.5757386904731278E-2</v>
      </c>
      <c r="M24" cm="1">
        <f t="array" ref="M24">_xll.FI.CURVE.FORWARD($L$2,K24)</f>
        <v>3.8481716185164432E-2</v>
      </c>
    </row>
    <row r="25" spans="11:13" x14ac:dyDescent="0.35">
      <c r="K25">
        <v>5</v>
      </c>
      <c r="L25" cm="1">
        <f t="array" ref="L25">_xll.FI.CURVE.SPOT($L$2,K25)</f>
        <v>3.6029819832774604E-2</v>
      </c>
      <c r="M25" cm="1">
        <f t="array" ref="M25">_xll.FI.CURVE.FORWARD($L$2,K25)</f>
        <v>3.8481716185164432E-2</v>
      </c>
    </row>
    <row r="26" spans="11:13" x14ac:dyDescent="0.35">
      <c r="K26">
        <v>5.5</v>
      </c>
      <c r="L26" cm="1">
        <f t="array" ref="L26">_xll.FI.CURVE.SPOT($L$2,K26)</f>
        <v>3.6699769586277319E-2</v>
      </c>
      <c r="M26" cm="1">
        <f t="array" ref="M26">_xll.FI.CURVE.FORWARD($L$2,K26)</f>
        <v>4.3399267121304493E-2</v>
      </c>
    </row>
    <row r="27" spans="11:13" x14ac:dyDescent="0.35">
      <c r="K27">
        <v>6</v>
      </c>
      <c r="L27" cm="1">
        <f t="array" ref="L27">_xll.FI.CURVE.SPOT($L$2,K27)</f>
        <v>3.725806104752958E-2</v>
      </c>
      <c r="M27" cm="1">
        <f t="array" ref="M27">_xll.FI.CURVE.FORWARD($L$2,K27)</f>
        <v>4.3399267121304493E-2</v>
      </c>
    </row>
    <row r="28" spans="11:13" x14ac:dyDescent="0.35">
      <c r="K28">
        <v>6.5</v>
      </c>
      <c r="L28" cm="1">
        <f t="array" ref="L28">_xll.FI.CURVE.SPOT($L$2,K28)</f>
        <v>3.7730461514743033E-2</v>
      </c>
      <c r="M28" cm="1">
        <f t="array" ref="M28">_xll.FI.CURVE.FORWARD($L$2,K28)</f>
        <v>4.3399267121304493E-2</v>
      </c>
    </row>
    <row r="29" spans="11:13" x14ac:dyDescent="0.35">
      <c r="K29">
        <v>7</v>
      </c>
      <c r="L29" cm="1">
        <f t="array" ref="L29">_xll.FI.CURVE.SPOT($L$2,K29)</f>
        <v>3.8135376200925997E-2</v>
      </c>
      <c r="M29" cm="1">
        <f t="array" ref="M29">_xll.FI.CURVE.FORWARD($L$2,K29)</f>
        <v>4.3399267121304493E-2</v>
      </c>
    </row>
    <row r="30" spans="11:13" x14ac:dyDescent="0.35">
      <c r="K30">
        <v>7.5</v>
      </c>
      <c r="L30" cm="1">
        <f t="array" ref="L30">_xll.FI.CURVE.SPOT($L$2,K30)</f>
        <v>3.8690866617754754E-2</v>
      </c>
      <c r="M30" cm="1">
        <f t="array" ref="M30">_xll.FI.CURVE.FORWARD($L$2,K30)</f>
        <v>4.6467732453357329E-2</v>
      </c>
    </row>
    <row r="31" spans="11:13" x14ac:dyDescent="0.35">
      <c r="K31">
        <v>8</v>
      </c>
      <c r="L31" cm="1">
        <f t="array" ref="L31">_xll.FI.CURVE.SPOT($L$2,K31)</f>
        <v>3.9176920732479914E-2</v>
      </c>
      <c r="M31" cm="1">
        <f t="array" ref="M31">_xll.FI.CURVE.FORWARD($L$2,K31)</f>
        <v>4.6467732453357329E-2</v>
      </c>
    </row>
    <row r="32" spans="11:13" x14ac:dyDescent="0.35">
      <c r="K32">
        <v>8.5</v>
      </c>
      <c r="L32" cm="1">
        <f t="array" ref="L32">_xll.FI.CURVE.SPOT($L$2,K32)</f>
        <v>3.9605792010178588E-2</v>
      </c>
      <c r="M32" cm="1">
        <f t="array" ref="M32">_xll.FI.CURVE.FORWARD($L$2,K32)</f>
        <v>4.6467732453357329E-2</v>
      </c>
    </row>
    <row r="33" spans="11:13" x14ac:dyDescent="0.35">
      <c r="K33">
        <v>9</v>
      </c>
      <c r="L33" cm="1">
        <f t="array" ref="L33">_xll.FI.CURVE.SPOT($L$2,K33)</f>
        <v>3.9987010923688518E-2</v>
      </c>
      <c r="M33" cm="1">
        <f t="array" ref="M33">_xll.FI.CURVE.FORWARD($L$2,K33)</f>
        <v>4.6467732453357329E-2</v>
      </c>
    </row>
    <row r="34" spans="11:13" x14ac:dyDescent="0.35">
      <c r="K34">
        <v>9.5</v>
      </c>
      <c r="L34" cm="1">
        <f t="array" ref="L34">_xll.FI.CURVE.SPOT($L$2,K34)</f>
        <v>4.0328101530513194E-2</v>
      </c>
      <c r="M34" cm="1">
        <f t="array" ref="M34">_xll.FI.CURVE.FORWARD($L$2,K34)</f>
        <v>4.6467732453357329E-2</v>
      </c>
    </row>
    <row r="35" spans="11:13" x14ac:dyDescent="0.35">
      <c r="K35">
        <v>10</v>
      </c>
      <c r="L35" cm="1">
        <f t="array" ref="L35">_xll.FI.CURVE.SPOT($L$2,K35)</f>
        <v>4.06350830766554E-2</v>
      </c>
      <c r="M35" cm="1">
        <f t="array" ref="M35">_xll.FI.CURVE.FORWARD($L$2,K35)</f>
        <v>4.6467732453357329E-2</v>
      </c>
    </row>
    <row r="36" spans="11:13" x14ac:dyDescent="0.35">
      <c r="K36">
        <v>10.5</v>
      </c>
      <c r="L36" cm="1">
        <f t="array" ref="L36">_xll.FI.CURVE.SPOT($L$2,K36)</f>
        <v>4.1278260592309116E-2</v>
      </c>
      <c r="M36" cm="1">
        <f t="array" ref="M36">_xll.FI.CURVE.FORWARD($L$2,K36)</f>
        <v>5.4141810905383524E-2</v>
      </c>
    </row>
    <row r="37" spans="11:13" x14ac:dyDescent="0.35">
      <c r="K37">
        <v>11</v>
      </c>
      <c r="L37" cm="1">
        <f t="array" ref="L37">_xll.FI.CURVE.SPOT($L$2,K37)</f>
        <v>4.1862967424721592E-2</v>
      </c>
      <c r="M37" cm="1">
        <f t="array" ref="M37">_xll.FI.CURVE.FORWARD($L$2,K37)</f>
        <v>5.4141810905383524E-2</v>
      </c>
    </row>
    <row r="38" spans="11:13" x14ac:dyDescent="0.35">
      <c r="K38">
        <v>11.5</v>
      </c>
      <c r="L38" cm="1">
        <f t="array" ref="L38">_xll.FI.CURVE.SPOT($L$2,K38)</f>
        <v>4.2396830184750371E-2</v>
      </c>
      <c r="M38" cm="1">
        <f t="array" ref="M38">_xll.FI.CURVE.FORWARD($L$2,K38)</f>
        <v>5.4141810905383524E-2</v>
      </c>
    </row>
    <row r="39" spans="11:13" x14ac:dyDescent="0.35">
      <c r="K39">
        <v>12</v>
      </c>
      <c r="L39" cm="1">
        <f t="array" ref="L39">_xll.FI.CURVE.SPOT($L$2,K39)</f>
        <v>4.2886204381443416E-2</v>
      </c>
      <c r="M39" cm="1">
        <f t="array" ref="M39">_xll.FI.CURVE.FORWARD($L$2,K39)</f>
        <v>5.4141810905383524E-2</v>
      </c>
    </row>
    <row r="40" spans="11:13" x14ac:dyDescent="0.35">
      <c r="K40">
        <v>12.5</v>
      </c>
      <c r="L40" cm="1">
        <f t="array" ref="L40">_xll.FI.CURVE.SPOT($L$2,K40)</f>
        <v>4.3336428642401031E-2</v>
      </c>
      <c r="M40" cm="1">
        <f t="array" ref="M40">_xll.FI.CURVE.FORWARD($L$2,K40)</f>
        <v>5.4141810905383524E-2</v>
      </c>
    </row>
    <row r="41" spans="11:13" x14ac:dyDescent="0.35">
      <c r="K41">
        <v>13</v>
      </c>
      <c r="L41" cm="1">
        <f t="array" ref="L41">_xll.FI.CURVE.SPOT($L$2,K41)</f>
        <v>4.3752020267900343E-2</v>
      </c>
      <c r="M41" cm="1">
        <f t="array" ref="M41">_xll.FI.CURVE.FORWARD($L$2,K41)</f>
        <v>5.4141810905383524E-2</v>
      </c>
    </row>
    <row r="42" spans="11:13" x14ac:dyDescent="0.35">
      <c r="K42">
        <v>13.5</v>
      </c>
      <c r="L42" cm="1">
        <f t="array" ref="L42">_xll.FI.CURVE.SPOT($L$2,K42)</f>
        <v>4.413682732854788E-2</v>
      </c>
      <c r="M42" cm="1">
        <f t="array" ref="M42">_xll.FI.CURVE.FORWARD($L$2,K42)</f>
        <v>5.4141810905383524E-2</v>
      </c>
    </row>
    <row r="43" spans="11:13" x14ac:dyDescent="0.35">
      <c r="K43">
        <v>14</v>
      </c>
      <c r="L43" cm="1">
        <f t="array" ref="L43">_xll.FI.CURVE.SPOT($L$2,K43)</f>
        <v>4.4494148170577723E-2</v>
      </c>
      <c r="M43" cm="1">
        <f t="array" ref="M43">_xll.FI.CURVE.FORWARD($L$2,K43)</f>
        <v>5.4141810905383524E-2</v>
      </c>
    </row>
    <row r="44" spans="11:13" x14ac:dyDescent="0.35">
      <c r="K44">
        <v>14.5</v>
      </c>
      <c r="L44" cm="1">
        <f t="array" ref="L44">_xll.FI.CURVE.SPOT($L$2,K44)</f>
        <v>4.4826826195915853E-2</v>
      </c>
      <c r="M44" cm="1">
        <f t="array" ref="M44">_xll.FI.CURVE.FORWARD($L$2,K44)</f>
        <v>5.4141810905383524E-2</v>
      </c>
    </row>
    <row r="45" spans="11:13" x14ac:dyDescent="0.35">
      <c r="K45">
        <v>15</v>
      </c>
      <c r="L45" cm="1">
        <f t="array" ref="L45">_xll.FI.CURVE.SPOT($L$2,K45)</f>
        <v>4.5137325686231439E-2</v>
      </c>
      <c r="M45" cm="1">
        <f t="array" ref="M45">_xll.FI.CURVE.FORWARD($L$2,K45)</f>
        <v>5.4141810905383524E-2</v>
      </c>
    </row>
    <row r="46" spans="11:13" x14ac:dyDescent="0.35">
      <c r="K46">
        <v>15.5</v>
      </c>
      <c r="L46" cm="1">
        <f t="array" ref="L46">_xll.FI.CURVE.SPOT($L$2,K46)</f>
        <v>4.5427792951365377E-2</v>
      </c>
      <c r="M46" cm="1">
        <f t="array" ref="M46">_xll.FI.CURVE.FORWARD($L$2,K46)</f>
        <v>5.4141810905383524E-2</v>
      </c>
    </row>
    <row r="47" spans="11:13" x14ac:dyDescent="0.35">
      <c r="K47">
        <v>16</v>
      </c>
      <c r="L47" cm="1">
        <f t="array" ref="L47">_xll.FI.CURVE.SPOT($L$2,K47)</f>
        <v>4.5700106012428444E-2</v>
      </c>
      <c r="M47" cm="1">
        <f t="array" ref="M47">_xll.FI.CURVE.FORWARD($L$2,K47)</f>
        <v>5.4141810905383524E-2</v>
      </c>
    </row>
    <row r="48" spans="11:13" x14ac:dyDescent="0.35">
      <c r="K48">
        <v>16.5</v>
      </c>
      <c r="L48" cm="1">
        <f t="array" ref="L48">_xll.FI.CURVE.SPOT($L$2,K48)</f>
        <v>4.59559152516089E-2</v>
      </c>
      <c r="M48" cm="1">
        <f t="array" ref="M48">_xll.FI.CURVE.FORWARD($L$2,K48)</f>
        <v>5.4141810905383524E-2</v>
      </c>
    </row>
    <row r="49" spans="11:13" x14ac:dyDescent="0.35">
      <c r="K49">
        <v>17</v>
      </c>
      <c r="L49" cm="1">
        <f t="array" ref="L49">_xll.FI.CURVE.SPOT($L$2,K49)</f>
        <v>4.6196676888484632E-2</v>
      </c>
      <c r="M49" cm="1">
        <f t="array" ref="M49">_xll.FI.CURVE.FORWARD($L$2,K49)</f>
        <v>5.4141810905383524E-2</v>
      </c>
    </row>
    <row r="50" spans="11:13" x14ac:dyDescent="0.35">
      <c r="K50">
        <v>17.5</v>
      </c>
      <c r="L50" cm="1">
        <f t="array" ref="L50">_xll.FI.CURVE.SPOT($L$2,K50)</f>
        <v>4.6423680717538877E-2</v>
      </c>
      <c r="M50" cm="1">
        <f t="array" ref="M50">_xll.FI.CURVE.FORWARD($L$2,K50)</f>
        <v>5.4141810905383524E-2</v>
      </c>
    </row>
    <row r="51" spans="11:13" x14ac:dyDescent="0.35">
      <c r="K51">
        <v>18</v>
      </c>
      <c r="L51" cm="1">
        <f t="array" ref="L51">_xll.FI.CURVE.SPOT($L$2,K51)</f>
        <v>4.6638073222756787E-2</v>
      </c>
      <c r="M51" cm="1">
        <f t="array" ref="M51">_xll.FI.CURVE.FORWARD($L$2,K51)</f>
        <v>5.4141810905383524E-2</v>
      </c>
    </row>
    <row r="52" spans="11:13" x14ac:dyDescent="0.35">
      <c r="K52">
        <v>18.5</v>
      </c>
      <c r="L52" cm="1">
        <f t="array" ref="L52">_xll.FI.CURVE.SPOT($L$2,K52)</f>
        <v>4.6840876943908857E-2</v>
      </c>
      <c r="M52" cm="1">
        <f t="array" ref="M52">_xll.FI.CURVE.FORWARD($L$2,K52)</f>
        <v>5.4141810905383524E-2</v>
      </c>
    </row>
    <row r="53" spans="11:13" x14ac:dyDescent="0.35">
      <c r="K53">
        <v>19</v>
      </c>
      <c r="L53" cm="1">
        <f t="array" ref="L53">_xll.FI.CURVE.SPOT($L$2,K53)</f>
        <v>4.7033006785000303E-2</v>
      </c>
      <c r="M53" cm="1">
        <f t="array" ref="M53">_xll.FI.CURVE.FORWARD($L$2,K53)</f>
        <v>5.4141810905383524E-2</v>
      </c>
    </row>
    <row r="54" spans="11:13" x14ac:dyDescent="0.35">
      <c r="K54">
        <v>19.5</v>
      </c>
      <c r="L54" cm="1">
        <f t="array" ref="L54">_xll.FI.CURVE.SPOT($L$2,K54)</f>
        <v>4.7215283813728075E-2</v>
      </c>
      <c r="M54" cm="1">
        <f t="array" ref="M54">_xll.FI.CURVE.FORWARD($L$2,K54)</f>
        <v>5.4141810905383524E-2</v>
      </c>
    </row>
    <row r="55" spans="11:13" x14ac:dyDescent="0.35">
      <c r="K55">
        <v>20</v>
      </c>
      <c r="L55" cm="1">
        <f t="array" ref="L55">_xll.FI.CURVE.SPOT($L$2,K55)</f>
        <v>4.7388446991019462E-2</v>
      </c>
      <c r="M55" cm="1">
        <f t="array" ref="M55">_xll.FI.CURVE.FORWARD($L$2,K55)</f>
        <v>5.4141810905383524E-2</v>
      </c>
    </row>
    <row r="56" spans="11:13" x14ac:dyDescent="0.35">
      <c r="K56">
        <v>20.5</v>
      </c>
      <c r="L56" cm="1">
        <f t="array" ref="L56">_xll.FI.CURVE.SPOT($L$2,K56)</f>
        <v>4.7416517109592764E-2</v>
      </c>
      <c r="M56" cm="1">
        <f t="array" ref="M56">_xll.FI.CURVE.FORWARD($L$2,K56)</f>
        <v>4.8539321852524846E-2</v>
      </c>
    </row>
    <row r="57" spans="11:13" x14ac:dyDescent="0.35">
      <c r="K57">
        <v>21</v>
      </c>
      <c r="L57" cm="1">
        <f t="array" ref="L57">_xll.FI.CURVE.SPOT($L$2,K57)</f>
        <v>4.744325055585305E-2</v>
      </c>
      <c r="M57" cm="1">
        <f t="array" ref="M57">_xll.FI.CURVE.FORWARD($L$2,K57)</f>
        <v>4.8539321852524846E-2</v>
      </c>
    </row>
    <row r="58" spans="11:13" x14ac:dyDescent="0.35">
      <c r="K58">
        <v>21.5</v>
      </c>
      <c r="L58" cm="1">
        <f t="array" ref="L58">_xll.FI.CURVE.SPOT($L$2,K58)</f>
        <v>4.746874058600821E-2</v>
      </c>
      <c r="M58" cm="1">
        <f t="array" ref="M58">_xll.FI.CURVE.FORWARD($L$2,K58)</f>
        <v>4.8539321852524846E-2</v>
      </c>
    </row>
    <row r="59" spans="11:13" x14ac:dyDescent="0.35">
      <c r="K59">
        <v>22</v>
      </c>
      <c r="L59" cm="1">
        <f t="array" ref="L59">_xll.FI.CURVE.SPOT($L$2,K59)</f>
        <v>4.7493071978429044E-2</v>
      </c>
      <c r="M59" cm="1">
        <f t="array" ref="M59">_xll.FI.CURVE.FORWARD($L$2,K59)</f>
        <v>4.8539321852524846E-2</v>
      </c>
    </row>
    <row r="60" spans="11:13" x14ac:dyDescent="0.35">
      <c r="K60">
        <v>22.5</v>
      </c>
      <c r="L60" cm="1">
        <f t="array" ref="L60">_xll.FI.CURVE.SPOT($L$2,K60)</f>
        <v>4.7516321975631173E-2</v>
      </c>
      <c r="M60" cm="1">
        <f t="array" ref="M60">_xll.FI.CURVE.FORWARD($L$2,K60)</f>
        <v>4.8539321852524846E-2</v>
      </c>
    </row>
    <row r="61" spans="11:13" x14ac:dyDescent="0.35">
      <c r="K61">
        <v>23</v>
      </c>
      <c r="L61" cm="1">
        <f t="array" ref="L61">_xll.FI.CURVE.SPOT($L$2,K61)</f>
        <v>4.7538561103389727E-2</v>
      </c>
      <c r="M61" cm="1">
        <f t="array" ref="M61">_xll.FI.CURVE.FORWARD($L$2,K61)</f>
        <v>4.8539321852524846E-2</v>
      </c>
    </row>
    <row r="62" spans="11:13" x14ac:dyDescent="0.35">
      <c r="K62">
        <v>23.5</v>
      </c>
      <c r="L62" cm="1">
        <f t="array" ref="L62">_xll.FI.CURVE.SPOT($L$2,K62)</f>
        <v>4.7559853885286218E-2</v>
      </c>
      <c r="M62" cm="1">
        <f t="array" ref="M62">_xll.FI.CURVE.FORWARD($L$2,K62)</f>
        <v>4.8539321852524846E-2</v>
      </c>
    </row>
    <row r="63" spans="11:13" x14ac:dyDescent="0.35">
      <c r="K63">
        <v>24</v>
      </c>
      <c r="L63" cm="1">
        <f t="array" ref="L63">_xll.FI.CURVE.SPOT($L$2,K63)</f>
        <v>4.7580259467937029E-2</v>
      </c>
      <c r="M63" cm="1">
        <f t="array" ref="M63">_xll.FI.CURVE.FORWARD($L$2,K63)</f>
        <v>4.8539321852524846E-2</v>
      </c>
    </row>
    <row r="64" spans="11:13" x14ac:dyDescent="0.35">
      <c r="K64">
        <v>24.5</v>
      </c>
      <c r="L64" cm="1">
        <f t="array" ref="L64">_xll.FI.CURVE.SPOT($L$2,K64)</f>
        <v>4.7599832169663313E-2</v>
      </c>
      <c r="M64" cm="1">
        <f t="array" ref="M64">_xll.FI.CURVE.FORWARD($L$2,K64)</f>
        <v>4.8539321852524846E-2</v>
      </c>
    </row>
    <row r="65" spans="11:13" x14ac:dyDescent="0.35">
      <c r="K65">
        <v>25</v>
      </c>
      <c r="L65" cm="1">
        <f t="array" ref="L65">_xll.FI.CURVE.SPOT($L$2,K65)</f>
        <v>4.7618621963320534E-2</v>
      </c>
      <c r="M65" cm="1">
        <f t="array" ref="M65">_xll.FI.CURVE.FORWARD($L$2,K65)</f>
        <v>4.8539321852524846E-2</v>
      </c>
    </row>
    <row r="66" spans="11:13" x14ac:dyDescent="0.35">
      <c r="K66">
        <v>25.5</v>
      </c>
      <c r="L66" cm="1">
        <f t="array" ref="L66">_xll.FI.CURVE.SPOT($L$2,K66)</f>
        <v>4.7636674902324545E-2</v>
      </c>
      <c r="M66" cm="1">
        <f t="array" ref="M66">_xll.FI.CURVE.FORWARD($L$2,K66)</f>
        <v>4.8539321852524846E-2</v>
      </c>
    </row>
    <row r="67" spans="11:13" x14ac:dyDescent="0.35">
      <c r="K67">
        <v>26</v>
      </c>
      <c r="L67" cm="1">
        <f t="array" ref="L67">_xll.FI.CURVE.SPOT($L$2,K67)</f>
        <v>4.7654033497520704E-2</v>
      </c>
      <c r="M67" cm="1">
        <f t="array" ref="M67">_xll.FI.CURVE.FORWARD($L$2,K67)</f>
        <v>4.8539321852524846E-2</v>
      </c>
    </row>
    <row r="68" spans="11:13" x14ac:dyDescent="0.35">
      <c r="K68">
        <v>26.5</v>
      </c>
      <c r="L68" cm="1">
        <f t="array" ref="L68">_xll.FI.CURVE.SPOT($L$2,K68)</f>
        <v>4.767073705138871E-2</v>
      </c>
      <c r="M68" cm="1">
        <f t="array" ref="M68">_xll.FI.CURVE.FORWARD($L$2,K68)</f>
        <v>4.8539321852524846E-2</v>
      </c>
    </row>
    <row r="69" spans="11:13" x14ac:dyDescent="0.35">
      <c r="K69">
        <v>27</v>
      </c>
      <c r="L69" cm="1">
        <f t="array" ref="L69">_xll.FI.CURVE.SPOT($L$2,K69)</f>
        <v>4.7686821955113451E-2</v>
      </c>
      <c r="M69" cm="1">
        <f t="array" ref="M69">_xll.FI.CURVE.FORWARD($L$2,K69)</f>
        <v>4.8539321852524846E-2</v>
      </c>
    </row>
    <row r="70" spans="11:13" x14ac:dyDescent="0.35">
      <c r="K70">
        <v>27.5</v>
      </c>
      <c r="L70" cm="1">
        <f t="array" ref="L70">_xll.FI.CURVE.SPOT($L$2,K70)</f>
        <v>4.7702321953248202E-2</v>
      </c>
      <c r="M70" cm="1">
        <f t="array" ref="M70">_xll.FI.CURVE.FORWARD($L$2,K70)</f>
        <v>4.8539321852524846E-2</v>
      </c>
    </row>
    <row r="71" spans="11:13" x14ac:dyDescent="0.35">
      <c r="K71">
        <v>28</v>
      </c>
      <c r="L71" cm="1">
        <f t="array" ref="L71">_xll.FI.CURVE.SPOT($L$2,K71)</f>
        <v>4.7717268380021001E-2</v>
      </c>
      <c r="M71" cm="1">
        <f t="array" ref="M71">_xll.FI.CURVE.FORWARD($L$2,K71)</f>
        <v>4.8539321852524846E-2</v>
      </c>
    </row>
    <row r="72" spans="11:13" x14ac:dyDescent="0.35">
      <c r="K72">
        <v>28.5</v>
      </c>
      <c r="L72" cm="1">
        <f t="array" ref="L72">_xll.FI.CURVE.SPOT($L$2,K72)</f>
        <v>4.7731690370766675E-2</v>
      </c>
      <c r="M72" cm="1">
        <f t="array" ref="M72">_xll.FI.CURVE.FORWARD($L$2,K72)</f>
        <v>4.8539321852524846E-2</v>
      </c>
    </row>
    <row r="73" spans="11:13" x14ac:dyDescent="0.35">
      <c r="K73">
        <v>29</v>
      </c>
      <c r="L73" cm="1">
        <f t="array" ref="L73">_xll.FI.CURVE.SPOT($L$2,K73)</f>
        <v>4.7745615051486646E-2</v>
      </c>
      <c r="M73" cm="1">
        <f t="array" ref="M73">_xll.FI.CURVE.FORWARD($L$2,K73)</f>
        <v>4.8539321852524846E-2</v>
      </c>
    </row>
    <row r="74" spans="11:13" x14ac:dyDescent="0.35">
      <c r="K74">
        <v>29.5</v>
      </c>
      <c r="L74" cm="1">
        <f t="array" ref="L74">_xll.FI.CURVE.SPOT($L$2,K74)</f>
        <v>4.7759067709131367E-2</v>
      </c>
      <c r="M74" cm="1">
        <f t="array" ref="M74">_xll.FI.CURVE.FORWARD($L$2,K74)</f>
        <v>4.8539321852524846E-2</v>
      </c>
    </row>
    <row r="75" spans="11:13" x14ac:dyDescent="0.35">
      <c r="K75">
        <v>30</v>
      </c>
      <c r="L75" cm="1">
        <f t="array" ref="L75">_xll.FI.CURVE.SPOT($L$2,K75)</f>
        <v>4.777207194485459E-2</v>
      </c>
      <c r="M75" cm="1">
        <f t="array" ref="M75">_xll.FI.CURVE.FORWARD($L$2,K75)</f>
        <v>4.8539321852524846E-2</v>
      </c>
    </row>
  </sheetData>
  <pageMargins left="0.7" right="0.7" top="0.75" bottom="0.75" header="0.3" footer="0.3"/>
  <ignoredErrors>
    <ignoredError sqref="C4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Enhua Zhu</cp:lastModifiedBy>
  <dcterms:created xsi:type="dcterms:W3CDTF">2026-02-18T22:45:22Z</dcterms:created>
  <dcterms:modified xsi:type="dcterms:W3CDTF">2026-02-23T17:50:55Z</dcterms:modified>
</cp:coreProperties>
</file>