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source\repos\xlladdins\xll_ml\xlsx\"/>
    </mc:Choice>
  </mc:AlternateContent>
  <xr:revisionPtr revIDLastSave="0" documentId="8_{4C9D297A-3999-41DE-ACE7-5A71ED7F49FD}" xr6:coauthVersionLast="47" xr6:coauthVersionMax="47" xr10:uidLastSave="{00000000-0000-0000-0000-000000000000}"/>
  <bookViews>
    <workbookView xWindow="-98" yWindow="-98" windowWidth="22276" windowHeight="13996" xr2:uid="{C5EACFA6-B034-46DC-AE5C-E5CADDB740D8}"/>
  </bookViews>
  <sheets>
    <sheet name="Sheet1" sheetId="1" r:id="rId1"/>
  </sheets>
  <definedNames>
    <definedName name="dx">Sheet1!$C$6</definedName>
    <definedName name="hi">Sheet1!$C$5</definedName>
    <definedName name="lo">Sheet1!$C$4</definedName>
    <definedName name="m">Sheet1!$B$2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 a="1"/>
  <c r="E9" i="1" s="1"/>
  <c r="D9" i="1" a="1"/>
  <c r="D9" i="1" s="1"/>
  <c r="B9" i="1" a="1"/>
  <c r="B9" i="1" s="1"/>
  <c r="C9" i="1" a="1"/>
  <c r="B2" i="1" a="1"/>
  <c r="C9" i="1" l="1"/>
  <c r="B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<sst xmlns="http://schemas.openxmlformats.org/spreadsheetml/2006/main" count="5" uniqueCount="5">
  <si>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x</t>
  </si>
  <si>
    <t>lo</t>
  </si>
  <si>
    <t>hi</t>
  </si>
  <si>
    <t>dx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</si>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</sst>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x&quot;#"/>
  </numFmts>
  <fonts count="2" x14ac:knownFonts="1"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>
      <alignment horizontal="center" vertical="center"/>
    </xf>
  </cellStyleXfs>
  <cellXfs count="3">
    <xf numFmtId="0" fontId="0" fillId="0" borderId="0" xfId="0"/>
    <xf numFmtId="164" fontId="1" fillId="0" borderId="0" xfId="1">
      <alignment horizontal="center" vertical="center"/>
    </xf>
    <xf numFmtId="0" fontId="0" fillId="0" borderId="0" xfId="0" applyAlignment="1">
      <alignment horizontal="right"/>
    </xf>
  </cellXfs>
  <cellStyles count="2">
    <cellStyle name="Handle" xfId="1" xr:uid="{A6815BDB-1179-4756-A4CE-4641D44FFB50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6EA1-1A84-45FC-9C88-AB8D1AB3EA5B}">
  <dimension ref="B2:E29"/>
  <sheetViews>
    <sheetView tabSelected="1" workbookViewId="0">
      <selection activeCell="E9" sqref="E9"/>
    </sheetView>
  </sheetViews>
  <sheetFormatPr defaultRowHeight="18" x14ac:dyDescent="0.55000000000000004"/>
  <cols>
    <col min="2" max="2" width="11.68359375" bestFit="1" customWidth="1"/>
    <col min="5" max="5" width="11.68359375" bestFit="1" customWidth="1"/>
  </cols>
  <sheetData>
    <row r="2" spans="2:5" x14ac:dyDescent="0.55000000000000004">
      <c r="B2" s="1" cm="1">
        <f t="array" ref="B2">_xll.\OPTION.NORMAL()</f>
        <v>2566972093488</v>
      </c>
      <c r="C2" t="s">
        <v>4</v>
      </c>
    </row>
    <row r="4" spans="2:5" x14ac:dyDescent="0.55000000000000004">
      <c r="B4" s="2" t="s">
        <v>1</v>
      </c>
      <c r="C4">
        <v>-1</v>
      </c>
    </row>
    <row r="5" spans="2:5" x14ac:dyDescent="0.55000000000000004">
      <c r="B5" s="2" t="s">
        <v>2</v>
      </c>
      <c r="C5">
        <v>1</v>
      </c>
    </row>
    <row r="6" spans="2:5" x14ac:dyDescent="0.55000000000000004">
      <c r="B6" s="2" t="s">
        <v>3</v>
      </c>
      <c r="C6">
        <v>0.1</v>
      </c>
    </row>
    <row r="8" spans="2:5" x14ac:dyDescent="0.55000000000000004">
      <c r="B8" s="2" t="s">
        <v>0</v>
      </c>
    </row>
    <row r="9" spans="2:5" x14ac:dyDescent="0.55000000000000004">
      <c r="B9" cm="1">
        <f t="array" ref="B9:B29">_xlfn.SEQUENCE(1+(hi-lo)/dx,1,lo,dx)</f>
        <v>-1</v>
      </c>
      <c r="C9" cm="1">
        <f t="array" ref="C9:C29">_xlfn.MAP(_xlfn.ANCHORARRAY(B9),_xlfn.LAMBDA(_xlpm.x,_xll.OPTION.CDF(_xlpm.x,0,m)))</f>
        <v>0.15865526383236372</v>
      </c>
      <c r="D9" cm="1">
        <f t="array" ref="D9:D29">_xlfn.MAP(_xlfn.ANCHORARRAY(B9), _xlfn.LAMBDA(_xlpm.x,_xlfn.NORM.S.DIST(_xlpm.x,TRUE)))</f>
        <v>0.15865525393145699</v>
      </c>
      <c r="E9" cm="1">
        <f t="array" ref="E9:E29">_xlfn.ANCHORARRAY(C9)-_xlfn.ANCHORARRAY(D9)</f>
        <v>9.9009067333621914E-9</v>
      </c>
    </row>
    <row r="10" spans="2:5" x14ac:dyDescent="0.55000000000000004">
      <c r="B10">
        <v>-0.9</v>
      </c>
      <c r="C10">
        <v>0.18406009612989072</v>
      </c>
      <c r="D10">
        <v>0.1840601253467595</v>
      </c>
      <c r="E10">
        <v>-2.921686878543106E-8</v>
      </c>
    </row>
    <row r="11" spans="2:5" x14ac:dyDescent="0.55000000000000004">
      <c r="B11">
        <v>-0.8</v>
      </c>
      <c r="C11">
        <v>0.21185533859004307</v>
      </c>
      <c r="D11">
        <v>0.21185539858339661</v>
      </c>
      <c r="E11">
        <v>-5.9993353535015004E-8</v>
      </c>
    </row>
    <row r="12" spans="2:5" x14ac:dyDescent="0.55000000000000004">
      <c r="B12">
        <v>-0.70000000000000007</v>
      </c>
      <c r="C12">
        <v>0.24196358328719691</v>
      </c>
      <c r="D12">
        <v>0.24196365222307298</v>
      </c>
      <c r="E12">
        <v>-6.893587606304763E-8</v>
      </c>
    </row>
    <row r="13" spans="2:5" x14ac:dyDescent="0.55000000000000004">
      <c r="B13">
        <v>-0.60000000000000009</v>
      </c>
      <c r="C13">
        <v>0.27425306975118474</v>
      </c>
      <c r="D13">
        <v>0.27425311775007355</v>
      </c>
      <c r="E13">
        <v>-4.7998888808020723E-8</v>
      </c>
    </row>
    <row r="14" spans="2:5" x14ac:dyDescent="0.55000000000000004">
      <c r="B14">
        <v>-0.50000000000000011</v>
      </c>
      <c r="C14">
        <v>0.30853753727600591</v>
      </c>
      <c r="D14">
        <v>0.30853753872598688</v>
      </c>
      <c r="E14">
        <v>-1.4499809686263632E-9</v>
      </c>
    </row>
    <row r="15" spans="2:5" x14ac:dyDescent="0.55000000000000004">
      <c r="B15">
        <v>-0.40000000000000013</v>
      </c>
      <c r="C15">
        <v>0.34457830765191066</v>
      </c>
      <c r="D15">
        <v>0.34457825838967571</v>
      </c>
      <c r="E15">
        <v>4.9262234957936357E-8</v>
      </c>
    </row>
    <row r="16" spans="2:5" x14ac:dyDescent="0.55000000000000004">
      <c r="B16">
        <v>-0.30000000000000016</v>
      </c>
      <c r="C16">
        <v>0.38208864608482385</v>
      </c>
      <c r="D16">
        <v>0.38208857781104727</v>
      </c>
      <c r="E16">
        <v>6.8273776576699419E-8</v>
      </c>
    </row>
    <row r="17" spans="2:5" x14ac:dyDescent="0.55000000000000004">
      <c r="B17">
        <v>-0.20000000000000015</v>
      </c>
      <c r="C17">
        <v>0.42074031537552492</v>
      </c>
      <c r="D17">
        <v>0.4207402905608969</v>
      </c>
      <c r="E17">
        <v>2.481462801906531E-8</v>
      </c>
    </row>
    <row r="18" spans="2:5" x14ac:dyDescent="0.55000000000000004">
      <c r="B18">
        <v>-0.10000000000000014</v>
      </c>
      <c r="C18">
        <v>0.46017210560283034</v>
      </c>
      <c r="D18">
        <v>0.46017216272297096</v>
      </c>
      <c r="E18">
        <v>-5.7120140617428206E-8</v>
      </c>
    </row>
    <row r="19" spans="2:5" x14ac:dyDescent="0.55000000000000004">
      <c r="B19">
        <v>-1.3877787807814457E-16</v>
      </c>
      <c r="C19">
        <v>0.49999999950000001</v>
      </c>
      <c r="D19">
        <v>0.49999999999999994</v>
      </c>
      <c r="E19">
        <v>-4.9999993034788304E-10</v>
      </c>
    </row>
    <row r="20" spans="2:5" x14ac:dyDescent="0.55000000000000004">
      <c r="B20">
        <v>9.9999999999999867E-2</v>
      </c>
      <c r="C20">
        <v>0.53982789439716972</v>
      </c>
      <c r="D20">
        <v>0.53982783727702888</v>
      </c>
      <c r="E20">
        <v>5.7120140839472811E-8</v>
      </c>
    </row>
    <row r="21" spans="2:5" x14ac:dyDescent="0.55000000000000004">
      <c r="B21">
        <v>0.19999999999999987</v>
      </c>
      <c r="C21">
        <v>0.57925968462447508</v>
      </c>
      <c r="D21">
        <v>0.57925970943910299</v>
      </c>
      <c r="E21">
        <v>-2.4814627908043008E-8</v>
      </c>
    </row>
    <row r="22" spans="2:5" x14ac:dyDescent="0.55000000000000004">
      <c r="B22">
        <v>0.29999999999999988</v>
      </c>
      <c r="C22">
        <v>0.61791135391517615</v>
      </c>
      <c r="D22">
        <v>0.61791142218895256</v>
      </c>
      <c r="E22">
        <v>-6.8273776410165965E-8</v>
      </c>
    </row>
    <row r="23" spans="2:5" x14ac:dyDescent="0.55000000000000004">
      <c r="B23">
        <v>0.39999999999999991</v>
      </c>
      <c r="C23">
        <v>0.65542169234808889</v>
      </c>
      <c r="D23">
        <v>0.65542174161032418</v>
      </c>
      <c r="E23">
        <v>-4.9262235291003265E-8</v>
      </c>
    </row>
    <row r="24" spans="2:5" x14ac:dyDescent="0.55000000000000004">
      <c r="B24">
        <v>0.49999999999999989</v>
      </c>
      <c r="C24">
        <v>0.69146246272399403</v>
      </c>
      <c r="D24">
        <v>0.69146246127401312</v>
      </c>
      <c r="E24">
        <v>1.4499809131152119E-9</v>
      </c>
    </row>
    <row r="25" spans="2:5" x14ac:dyDescent="0.55000000000000004">
      <c r="B25">
        <v>0.59999999999999987</v>
      </c>
      <c r="C25">
        <v>0.72574693024881531</v>
      </c>
      <c r="D25">
        <v>0.72574688224992645</v>
      </c>
      <c r="E25">
        <v>4.7998888863531874E-8</v>
      </c>
    </row>
    <row r="26" spans="2:5" x14ac:dyDescent="0.55000000000000004">
      <c r="B26">
        <v>0.69999999999999984</v>
      </c>
      <c r="C26">
        <v>0.75803641671280297</v>
      </c>
      <c r="D26">
        <v>0.75803634777692697</v>
      </c>
      <c r="E26">
        <v>6.8935876007536478E-8</v>
      </c>
    </row>
    <row r="27" spans="2:5" x14ac:dyDescent="0.55000000000000004">
      <c r="B27">
        <v>0.79999999999999982</v>
      </c>
      <c r="C27">
        <v>0.78814466140995687</v>
      </c>
      <c r="D27">
        <v>0.78814460141660325</v>
      </c>
      <c r="E27">
        <v>5.9993353618281731E-8</v>
      </c>
    </row>
    <row r="28" spans="2:5" x14ac:dyDescent="0.55000000000000004">
      <c r="B28">
        <v>0.8999999999999998</v>
      </c>
      <c r="C28">
        <v>0.81593990387010928</v>
      </c>
      <c r="D28">
        <v>0.81593987465324047</v>
      </c>
      <c r="E28">
        <v>2.9216868813186636E-8</v>
      </c>
    </row>
    <row r="29" spans="2:5" x14ac:dyDescent="0.55000000000000004">
      <c r="B29">
        <v>0.99999999999999978</v>
      </c>
      <c r="C29">
        <v>0.84134473616763628</v>
      </c>
      <c r="D29">
        <v>0.84134474606854281</v>
      </c>
      <c r="E29">
        <v>-9.9009065390731621E-9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dx</vt:lpstr>
      <vt:lpstr>hi</vt:lpstr>
      <vt:lpstr>lo</vt:lpstr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Keith Lewis</cp:lastModifiedBy>
  <dcterms:created xsi:type="dcterms:W3CDTF">2026-02-09T21:16:15Z</dcterms:created>
  <dcterms:modified xsi:type="dcterms:W3CDTF">2026-02-09T21:31:24Z</dcterms:modified>
</cp:coreProperties>
</file>