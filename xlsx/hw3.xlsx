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\xlsx\"/>
    </mc:Choice>
  </mc:AlternateContent>
  <xr:revisionPtr revIDLastSave="0" documentId="13_ncr:1_{A5697333-8AFA-4389-AB42-A27B4623DFFA}" xr6:coauthVersionLast="47" xr6:coauthVersionMax="47" xr10:uidLastSave="{00000000-0000-0000-0000-000000000000}"/>
  <bookViews>
    <workbookView xWindow="2316" yWindow="1620" windowWidth="19176" windowHeight="12480" xr2:uid="{EA092A42-1670-4D44-86F1-B9E7694F8A62}"/>
  </bookViews>
  <sheets>
    <sheet name="Sheet1" sheetId="1" r:id="rId1"/>
  </sheets>
  <definedNames>
    <definedName name="f">Sheet1!$C$3</definedName>
    <definedName name="k">Sheet1!$C$5</definedName>
    <definedName name="k2_">Sheet1!$C$13</definedName>
    <definedName name="m">Sheet1!$C$6</definedName>
    <definedName name="m2_">Sheet1!$C$15</definedName>
    <definedName name="r_">Sheet1!$C$10</definedName>
    <definedName name="s">Sheet1!$C$4</definedName>
    <definedName name="s0">Sheet1!$C$11</definedName>
    <definedName name="sigma">Sheet1!$C$12</definedName>
    <definedName name="t">Sheet1!$C$14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 a="1"/>
  <c r="C17" i="1" a="1"/>
  <c r="C7" i="1" a="1"/>
  <c r="C15" i="1" a="1"/>
  <c r="C8" i="1" a="1"/>
  <c r="C6" i="1" a="1"/>
  <c r="C16" i="1" l="1"/>
  <c r="C17" i="1"/>
  <c r="C7" i="1"/>
  <c r="C15" i="1"/>
  <c r="C8" i="1"/>
  <c r="C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<sst xmlns="http://schemas.openxmlformats.org/spreadsheetml/2006/main" count="14" uniqueCount="14">
  <si>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f</t>
  </si>
  <si>
    <t>s</t>
  </si>
  <si>
    <t>k</t>
  </si>
  <si>
    <t>m</t>
  </si>
  <si>
    <t>r</t>
  </si>
  <si>
    <t>s0</t>
  </si>
  <si>
    <t>sigma</t>
  </si>
  <si>
    <t>t</t>
  </si>
  <si>
    <t>bsm_put</t>
  </si>
  <si>
    <t>bsm_call</t>
  </si>
  <si>
    <t>black_put</t>
  </si>
  <si>
    <t>black_call</t>
  </si>
  <si>
    <t>k2</t>
  </si>
  <si>
    <t>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</si>
</sst>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0"/>
  </numFmts>
  <fonts count="2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right"/>
    </xf>
    <xf numFmtId="164" fontId="1" fillId="0" borderId="0" xfId="1">
      <alignment horizontal="center" vertical="center"/>
    </xf>
    <xf numFmtId="165" fontId="0" fillId="0" borderId="0" xfId="0" applyNumberFormat="1"/>
  </cellXfs>
  <cellStyles count="2">
    <cellStyle name="Handle" xfId="1" xr:uid="{1D654BEF-DD87-407E-A523-E3474ECC1167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CDEE-4F3C-473F-9F8B-5F0D6CBFE894}">
  <dimension ref="B3:C17"/>
  <sheetViews>
    <sheetView tabSelected="1" workbookViewId="0">
      <selection activeCell="D9" sqref="D9"/>
    </sheetView>
  </sheetViews>
  <sheetFormatPr defaultRowHeight="18" x14ac:dyDescent="0.35"/>
  <cols>
    <col min="1" max="1" width="3.58203125" customWidth="1"/>
    <col min="3" max="3" width="11.6640625" bestFit="1" customWidth="1"/>
  </cols>
  <sheetData>
    <row r="3" spans="2:3" x14ac:dyDescent="0.35">
      <c r="B3" s="1" t="s">
        <v>0</v>
      </c>
      <c r="C3">
        <v>100</v>
      </c>
    </row>
    <row r="4" spans="2:3" x14ac:dyDescent="0.35">
      <c r="B4" s="1" t="s">
        <v>1</v>
      </c>
      <c r="C4">
        <v>0.1</v>
      </c>
    </row>
    <row r="5" spans="2:3" x14ac:dyDescent="0.35">
      <c r="B5" s="1" t="s">
        <v>2</v>
      </c>
      <c r="C5">
        <v>100</v>
      </c>
    </row>
    <row r="6" spans="2:3" x14ac:dyDescent="0.35">
      <c r="B6" s="1" t="s">
        <v>3</v>
      </c>
      <c r="C6" s="2" cm="1">
        <f t="array" ref="C6">_xll.\OPTION.NORMAL()</f>
        <v>2377331343536</v>
      </c>
    </row>
    <row r="7" spans="2:3" x14ac:dyDescent="0.35">
      <c r="B7" s="1" t="s">
        <v>10</v>
      </c>
      <c r="C7" s="3" cm="1">
        <f t="array" ref="C7">_xll.OPTION.BLACK.PUT(f, s, k, m)</f>
        <v>3.9877746125013118</v>
      </c>
    </row>
    <row r="8" spans="2:3" x14ac:dyDescent="0.35">
      <c r="B8" s="1" t="s">
        <v>11</v>
      </c>
      <c r="C8" s="3" cm="1">
        <f t="array" ref="C8">_xll.OPTION.BLACK.PUT(f, s, k, m)</f>
        <v>3.9877746125013118</v>
      </c>
    </row>
    <row r="10" spans="2:3" x14ac:dyDescent="0.35">
      <c r="B10" s="1" t="s">
        <v>4</v>
      </c>
      <c r="C10">
        <v>0.05</v>
      </c>
    </row>
    <row r="11" spans="2:3" x14ac:dyDescent="0.35">
      <c r="B11" s="1" t="s">
        <v>5</v>
      </c>
      <c r="C11">
        <v>100</v>
      </c>
    </row>
    <row r="12" spans="2:3" x14ac:dyDescent="0.35">
      <c r="B12" s="1" t="s">
        <v>6</v>
      </c>
      <c r="C12">
        <v>0.1</v>
      </c>
    </row>
    <row r="13" spans="2:3" x14ac:dyDescent="0.35">
      <c r="B13" s="1" t="s">
        <v>12</v>
      </c>
      <c r="C13">
        <v>100</v>
      </c>
    </row>
    <row r="14" spans="2:3" x14ac:dyDescent="0.35">
      <c r="B14" s="1" t="s">
        <v>7</v>
      </c>
      <c r="C14">
        <v>1</v>
      </c>
    </row>
    <row r="15" spans="2:3" x14ac:dyDescent="0.35">
      <c r="B15" s="1" t="s">
        <v>13</v>
      </c>
      <c r="C15" s="2" cm="1">
        <f t="array" ref="C15">_xll.\OPTION.NORMAL()</f>
        <v>2377331343536</v>
      </c>
    </row>
    <row r="16" spans="2:3" x14ac:dyDescent="0.35">
      <c r="B16" s="1" t="s">
        <v>8</v>
      </c>
      <c r="C16" s="3" cm="1">
        <f t="array" ref="C16">_xll.OPTION.BSM.PUT(r_,s0,sigma,k2_,t,m2_)</f>
        <v>2.0267510941802414</v>
      </c>
    </row>
    <row r="17" spans="2:3" x14ac:dyDescent="0.35">
      <c r="B17" s="1" t="s">
        <v>9</v>
      </c>
      <c r="C17" s="3" cm="1">
        <f t="array" ref="C17">_xll.OPTION.BSM.CALL(r_,s0,sigma,k2_,t,m2_)</f>
        <v>7.1538607317826575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Sheet1</vt:lpstr>
      <vt:lpstr>f</vt:lpstr>
      <vt:lpstr>k</vt:lpstr>
      <vt:lpstr>k2_</vt:lpstr>
      <vt:lpstr>m</vt:lpstr>
      <vt:lpstr>m2_</vt:lpstr>
      <vt:lpstr>r_</vt:lpstr>
      <vt:lpstr>s</vt:lpstr>
      <vt:lpstr>s0</vt:lpstr>
      <vt:lpstr>sigma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2026-02-10T16:40:49Z</dcterms:created>
  <dcterms:modified xsi:type="dcterms:W3CDTF">2026-02-14T23:18:47Z</dcterms:modified>
</cp:coreProperties>
</file>